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變量總覽" sheetId="1" state="visible" r:id="rId3"/>
    <sheet name="1_輸入區" sheetId="2" state="visible" r:id="rId4"/>
    <sheet name="2_EPS計算" sheetId="3" state="visible" r:id="rId5"/>
    <sheet name="3_敏感度" sheetId="4" state="visible" r:id="rId6"/>
    <sheet name="4_情境與檢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<sst xmlns="http://schemas.openxmlformats.org/spreadsheetml/2006/main" count="186" uniqueCount="162">
  <si>
    <r>
      <rPr>
        <b val="true"/>
        <sz val="14"/>
        <color rgb="FF1A2540"/>
        <rFont val="Noto Sans CJK SC"/>
        <family val="2"/>
      </rPr>
      <t xml:space="preserve">估值變量確認總覽 — 聯茂（</t>
    </r>
    <r>
      <rPr>
        <b val="true"/>
        <sz val="14"/>
        <color rgb="FF1A2540"/>
        <rFont val="Arial"/>
        <family val="0"/>
        <charset val="1"/>
      </rPr>
      <t xml:space="preserve">6213</t>
    </r>
    <r>
      <rPr>
        <b val="true"/>
        <sz val="14"/>
        <color rgb="FF1A254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</si>
  <si>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報告日期：</t>
    </r>
    <r>
      <rPr>
        <i val="true"/>
        <sz val="9"/>
        <color rgb="FF888888"/>
        <rFont val="Arial"/>
        <family val="0"/>
        <charset val="1"/>
      </rPr>
      <t xml:space="preserve">20260710</t>
    </r>
    <r>
      <rPr>
        <i val="true"/>
        <sz val="9"/>
        <color rgb="FF888888"/>
        <rFont val="Noto Sans CJK SC"/>
        <family val="2"/>
      </rPr>
      <t xml:space="preserve">｜本表為唯讀摘要，實際輸入請至「</t>
    </r>
    <r>
      <rPr>
        <i val="true"/>
        <sz val="9"/>
        <color rgb="FF888888"/>
        <rFont val="Arial"/>
        <family val="0"/>
        <charset val="1"/>
      </rPr>
      <t xml:space="preserve">1_</t>
    </r>
    <r>
      <rPr>
        <i val="true"/>
        <sz val="9"/>
        <color rgb="FF888888"/>
        <rFont val="Noto Sans CJK SC"/>
        <family val="2"/>
      </rPr>
      <t xml:space="preserve">輸入區」修改</t>
    </r>
  </si>
  <si>
    <t xml:space="preserve">變量</t>
  </si>
  <si>
    <t xml:space="preserve">採用值</t>
  </si>
  <si>
    <t xml:space="preserve">來源</t>
  </si>
  <si>
    <t xml:space="preserve">影響方向</t>
  </si>
  <si>
    <t xml:space="preserve">現價</t>
  </si>
  <si>
    <r>
      <rPr>
        <sz val="10"/>
        <color rgb="FF000000"/>
        <rFont val="Arial"/>
        <family val="0"/>
        <charset val="1"/>
      </rPr>
      <t xml:space="preserve">385.0 </t>
    </r>
    <r>
      <rPr>
        <sz val="10"/>
        <color rgb="FF000000"/>
        <rFont val="Noto Sans CJK SC"/>
        <family val="2"/>
      </rPr>
      <t xml:space="preserve">元</t>
    </r>
  </si>
  <si>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 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</t>
    </r>
    <r>
      <rPr>
        <i val="true"/>
        <sz val="9"/>
        <color rgb="FF888888"/>
        <rFont val="Arial"/>
        <family val="0"/>
        <charset val="1"/>
      </rPr>
      <t xml:space="preserve">385.0</t>
    </r>
    <r>
      <rPr>
        <i val="true"/>
        <sz val="9"/>
        <color rgb="FF888888"/>
        <rFont val="Noto Sans CJK SC"/>
        <family val="2"/>
      </rPr>
      <t xml:space="preserve">元 </t>
    </r>
    <r>
      <rPr>
        <i val="true"/>
        <sz val="9"/>
        <color rgb="FF888888"/>
        <rFont val="Arial"/>
        <family val="0"/>
        <charset val="1"/>
      </rPr>
      <t xml:space="preserve">-2.16%</t>
    </r>
    <r>
      <rPr>
        <i val="true"/>
        <sz val="9"/>
        <color rgb="FF888888"/>
        <rFont val="Noto Sans CJK SC"/>
        <family val="2"/>
      </rPr>
      <t xml:space="preserve">，本益比</t>
    </r>
    <r>
      <rPr>
        <i val="true"/>
        <sz val="9"/>
        <color rgb="FF888888"/>
        <rFont val="Arial"/>
        <family val="0"/>
        <charset val="1"/>
      </rPr>
      <t xml:space="preserve">94.13x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80.03x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</si>
  <si>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估值基準</t>
  </si>
  <si>
    <r>
      <rPr>
        <sz val="10"/>
        <color rgb="FF000000"/>
        <rFont val="Noto Sans CJK SC"/>
        <family val="2"/>
      </rPr>
      <t xml:space="preserve">基期</t>
    </r>
    <r>
      <rPr>
        <sz val="10"/>
        <color rgb="FF000000"/>
        <rFont val="Arial"/>
        <family val="0"/>
        <charset val="1"/>
      </rPr>
      <t xml:space="preserve">EPS</t>
    </r>
  </si>
  <si>
    <r>
      <rPr>
        <sz val="10"/>
        <color rgb="FF000000"/>
        <rFont val="Arial"/>
        <family val="0"/>
        <charset val="1"/>
      </rPr>
      <t xml:space="preserve">4.16 </t>
    </r>
    <r>
      <rPr>
        <sz val="10"/>
        <color rgb="FF000000"/>
        <rFont val="Noto Sans CJK SC"/>
        <family val="2"/>
      </rPr>
      <t xml:space="preserve">元（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</si>
  <si>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i val="true"/>
        <sz val="9"/>
        <color rgb="FF888888"/>
        <rFont val="Arial"/>
        <family val="0"/>
        <charset val="1"/>
      </rPr>
      <t xml:space="preserve">TWSE</t>
    </r>
    <r>
      <rPr>
        <i val="true"/>
        <sz val="9"/>
        <color rgb="FF888888"/>
        <rFont val="Noto Sans CJK SC"/>
        <family val="2"/>
      </rPr>
      <t xml:space="preserve">重大訊息公告</t>
    </r>
    <r>
      <rPr>
        <i val="true"/>
        <sz val="9"/>
        <color rgb="FF888888"/>
        <rFont val="Arial"/>
        <family val="0"/>
        <charset val="1"/>
      </rPr>
      <t xml:space="preserve">2026/04/10</t>
    </r>
    <r>
      <rPr>
        <i val="true"/>
        <sz val="9"/>
        <color rgb="FF888888"/>
        <rFont val="Noto Sans CJK SC"/>
        <family val="2"/>
      </rPr>
      <t xml:space="preserve">：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年度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自結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稅前淨利</t>
    </r>
    <r>
      <rPr>
        <i val="true"/>
        <sz val="9"/>
        <color rgb="FF888888"/>
        <rFont val="Arial"/>
        <family val="0"/>
        <charset val="1"/>
      </rPr>
      <t xml:space="preserve">23.67</t>
    </r>
    <r>
      <rPr>
        <i val="true"/>
        <sz val="9"/>
        <color rgb="FF888888"/>
        <rFont val="Noto Sans CJK SC"/>
        <family val="2"/>
      </rPr>
      <t xml:space="preserve">億、本期淨利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母公司</t>
    </r>
    <r>
      <rPr>
        <i val="true"/>
        <sz val="9"/>
        <color rgb="FF888888"/>
        <rFont val="Arial"/>
        <family val="0"/>
        <charset val="1"/>
      </rPr>
      <t xml:space="preserve">)15.10</t>
    </r>
    <r>
      <rPr>
        <i val="true"/>
        <sz val="9"/>
        <color rgb="FF888888"/>
        <rFont val="Noto Sans CJK SC"/>
        <family val="2"/>
      </rPr>
      <t xml:space="preserve">億、每股盈餘</t>
    </r>
    <r>
      <rPr>
        <i val="true"/>
        <sz val="9"/>
        <color rgb="FF888888"/>
        <rFont val="Arial"/>
        <family val="0"/>
        <charset val="1"/>
      </rPr>
      <t xml:space="preserve">4.16</t>
    </r>
    <r>
      <rPr>
        <i val="true"/>
        <sz val="9"/>
        <color rgb="FF888888"/>
        <rFont val="Noto Sans CJK SC"/>
        <family val="2"/>
      </rPr>
      <t xml:space="preserve">元（沿用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確認值）</t>
    </r>
  </si>
  <si>
    <r>
      <rPr>
        <sz val="10"/>
        <color rgb="FF000000"/>
        <rFont val="Noto Sans CJK SC"/>
        <family val="2"/>
      </rPr>
      <t xml:space="preserve">傳統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中低階</t>
    </r>
    <r>
      <rPr>
        <sz val="10"/>
        <color rgb="FF000000"/>
        <rFont val="Arial"/>
        <family val="0"/>
        <charset val="1"/>
      </rPr>
      <t xml:space="preserve">CCL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FR4~M4</t>
    </r>
    <r>
      <rPr>
        <sz val="10"/>
        <color rgb="FF000000"/>
        <rFont val="Noto Sans CJK SC"/>
        <family val="2"/>
      </rPr>
      <t xml:space="preserve">為主） 成長率</t>
    </r>
  </si>
  <si>
    <t xml:space="preserve">30% / 15% / 5%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</si>
  <si>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確認值：優分析法人估計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</t>
    </r>
    <r>
      <rPr>
        <i val="true"/>
        <sz val="9"/>
        <color rgb="FF888888"/>
        <rFont val="Arial"/>
        <family val="0"/>
        <charset val="1"/>
      </rPr>
      <t xml:space="preserve">M6/M7/M8</t>
    </r>
    <r>
      <rPr>
        <i val="true"/>
        <sz val="9"/>
        <color rgb="FF888888"/>
        <rFont val="Noto Sans CJK SC"/>
        <family val="2"/>
      </rPr>
      <t xml:space="preserve">以外占比約</t>
    </r>
    <r>
      <rPr>
        <i val="true"/>
        <sz val="9"/>
        <color rgb="FF888888"/>
        <rFont val="Arial"/>
        <family val="0"/>
        <charset val="1"/>
      </rPr>
      <t xml:space="preserve">71.5%</t>
    </r>
    <r>
      <rPr>
        <i val="true"/>
        <sz val="9"/>
        <color rgb="FF888888"/>
        <rFont val="Noto Sans CJK SC"/>
        <family val="2"/>
      </rPr>
      <t xml:space="preserve">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總營收</t>
    </r>
    <r>
      <rPr>
        <i val="true"/>
        <sz val="9"/>
        <color rgb="FF888888"/>
        <rFont val="Arial"/>
        <family val="0"/>
        <charset val="1"/>
      </rPr>
      <t xml:space="preserve">330.98</t>
    </r>
    <r>
      <rPr>
        <i val="true"/>
        <sz val="9"/>
        <color rgb="FF888888"/>
        <rFont val="Noto Sans CJK SC"/>
        <family val="2"/>
      </rPr>
      <t xml:space="preserve">億反推），法說會：每季</t>
    </r>
    <r>
      <rPr>
        <i val="true"/>
        <sz val="9"/>
        <color rgb="FF888888"/>
        <rFont val="Arial"/>
        <family val="0"/>
        <charset val="1"/>
      </rPr>
      <t xml:space="preserve">ASP</t>
    </r>
    <r>
      <rPr>
        <i val="true"/>
        <sz val="9"/>
        <color rgb="FF888888"/>
        <rFont val="Noto Sans CJK SC"/>
        <family val="2"/>
      </rPr>
      <t xml:space="preserve">調漲</t>
    </r>
    <r>
      <rPr>
        <i val="true"/>
        <sz val="9"/>
        <color rgb="FF888888"/>
        <rFont val="Arial"/>
        <family val="0"/>
        <charset val="1"/>
      </rPr>
      <t xml:space="preserve">10-15%</t>
    </r>
    <r>
      <rPr>
        <i val="true"/>
        <sz val="9"/>
        <color rgb="FF888888"/>
        <rFont val="Noto Sans CJK SC"/>
        <family val="2"/>
      </rPr>
      <t xml:space="preserve">驅動溫和成長</t>
    </r>
  </si>
  <si>
    <r>
      <rPr>
        <sz val="10"/>
        <color rgb="FF000000"/>
        <rFont val="Noto Sans CJK SC"/>
        <family val="2"/>
      </rPr>
      <t xml:space="preserve">營收→</t>
    </r>
    <r>
      <rPr>
        <sz val="10"/>
        <color rgb="FF000000"/>
        <rFont val="Arial"/>
        <family val="0"/>
        <charset val="1"/>
      </rPr>
      <t xml:space="preserve">EPS</t>
    </r>
  </si>
  <si>
    <r>
      <rPr>
        <sz val="10"/>
        <color rgb="FF000000"/>
        <rFont val="Arial"/>
        <family val="0"/>
        <charset val="1"/>
      </rPr>
      <t xml:space="preserve">M6</t>
    </r>
    <r>
      <rPr>
        <sz val="10"/>
        <color rgb="FF000000"/>
        <rFont val="Noto Sans CJK SC"/>
        <family val="2"/>
      </rPr>
      <t xml:space="preserve">（通用伺服器主流材料） 成長率</t>
    </r>
  </si>
  <si>
    <t xml:space="preserve">50% / 18% / 10%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</si>
  <si>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確認值：優分析法人估計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</t>
    </r>
    <r>
      <rPr>
        <i val="true"/>
        <sz val="9"/>
        <color rgb="FF888888"/>
        <rFont val="Arial"/>
        <family val="0"/>
        <charset val="1"/>
      </rPr>
      <t xml:space="preserve">M6</t>
    </r>
    <r>
      <rPr>
        <i val="true"/>
        <sz val="9"/>
        <color rgb="FF888888"/>
        <rFont val="Noto Sans CJK SC"/>
        <family val="2"/>
      </rPr>
      <t xml:space="preserve">占比</t>
    </r>
    <r>
      <rPr>
        <i val="true"/>
        <sz val="9"/>
        <color rgb="FF888888"/>
        <rFont val="Arial"/>
        <family val="0"/>
        <charset val="1"/>
      </rPr>
      <t xml:space="preserve">20-25%</t>
    </r>
    <r>
      <rPr>
        <i val="true"/>
        <sz val="9"/>
        <color rgb="FF888888"/>
        <rFont val="Noto Sans CJK SC"/>
        <family val="2"/>
      </rPr>
      <t xml:space="preserve">取</t>
    </r>
    <r>
      <rPr>
        <i val="true"/>
        <sz val="9"/>
        <color rgb="FF888888"/>
        <rFont val="Arial"/>
        <family val="0"/>
        <charset val="1"/>
      </rPr>
      <t xml:space="preserve">22%</t>
    </r>
    <r>
      <rPr>
        <i val="true"/>
        <sz val="9"/>
        <color rgb="FF888888"/>
        <rFont val="Noto Sans CJK SC"/>
        <family val="2"/>
      </rPr>
      <t xml:space="preserve">；受惠</t>
    </r>
    <r>
      <rPr>
        <i val="true"/>
        <sz val="9"/>
        <color rgb="FF888888"/>
        <rFont val="Arial"/>
        <family val="0"/>
        <charset val="1"/>
      </rPr>
      <t xml:space="preserve">PCIe6</t>
    </r>
    <r>
      <rPr>
        <i val="true"/>
        <sz val="9"/>
        <color rgb="FF888888"/>
        <rFont val="Noto Sans CJK SC"/>
        <family val="2"/>
      </rPr>
      <t xml:space="preserve">平台放量</t>
    </r>
    <r>
      <rPr>
        <i val="true"/>
        <sz val="9"/>
        <color rgb="FF888888"/>
        <rFont val="Arial"/>
        <family val="0"/>
        <charset val="1"/>
      </rPr>
      <t xml:space="preserve">(AMD</t>
    </r>
    <r>
      <rPr>
        <i val="true"/>
        <sz val="9"/>
        <color rgb="FF888888"/>
        <rFont val="Noto Sans CJK SC"/>
        <family val="2"/>
      </rPr>
      <t xml:space="preserve">先行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＋泰國廠擴產；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法說會證實</t>
    </r>
    <r>
      <rPr>
        <i val="true"/>
        <sz val="9"/>
        <color rgb="FF888888"/>
        <rFont val="Arial"/>
        <family val="0"/>
        <charset val="1"/>
      </rPr>
      <t xml:space="preserve">7-8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PCIe6</t>
    </r>
    <r>
      <rPr>
        <i val="true"/>
        <sz val="9"/>
        <color rgb="FF888888"/>
        <rFont val="Noto Sans CJK SC"/>
        <family val="2"/>
      </rPr>
      <t xml:space="preserve">放量、</t>
    </r>
    <r>
      <rPr>
        <i val="true"/>
        <sz val="9"/>
        <color rgb="FF888888"/>
        <rFont val="Arial"/>
        <family val="0"/>
        <charset val="1"/>
      </rPr>
      <t xml:space="preserve">AMD</t>
    </r>
    <r>
      <rPr>
        <i val="true"/>
        <sz val="9"/>
        <color rgb="FF888888"/>
        <rFont val="Noto Sans CJK SC"/>
        <family val="2"/>
      </rPr>
      <t xml:space="preserve">陣營先受惠</t>
    </r>
  </si>
  <si>
    <r>
      <rPr>
        <sz val="10"/>
        <color rgb="FF000000"/>
        <rFont val="Arial"/>
        <family val="0"/>
        <charset val="1"/>
      </rPr>
      <t xml:space="preserve">M7</t>
    </r>
    <r>
      <rPr>
        <sz val="10"/>
        <color rgb="FF000000"/>
        <rFont val="Noto Sans CJK SC"/>
        <family val="2"/>
      </rPr>
      <t xml:space="preserve">以上（</t>
    </r>
    <r>
      <rPr>
        <sz val="10"/>
        <color rgb="FF000000"/>
        <rFont val="Arial"/>
        <family val="0"/>
        <charset val="1"/>
      </rPr>
      <t xml:space="preserve">M7/M8/M9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低軌衛星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交換機） 成長率</t>
    </r>
  </si>
  <si>
    <t xml:space="preserve">333% / 169% / 52%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</si>
  <si>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確認值，並經</t>
    </r>
    <r>
      <rPr>
        <i val="true"/>
        <sz val="9"/>
        <color rgb="FF888888"/>
        <rFont val="Arial"/>
        <family val="0"/>
        <charset val="1"/>
      </rPr>
      <t xml:space="preserve">0710</t>
    </r>
    <r>
      <rPr>
        <i val="true"/>
        <sz val="9"/>
        <color rgb="FF888888"/>
        <rFont val="Noto Sans CJK SC"/>
        <family val="2"/>
      </rPr>
      <t xml:space="preserve">新增之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叫貨通路查核佐證：宜蘭出貨量</t>
    </r>
    <r>
      <rPr>
        <i val="true"/>
        <sz val="9"/>
        <color rgb="FF888888"/>
        <rFont val="Arial"/>
        <family val="0"/>
        <charset val="1"/>
      </rPr>
      <t xml:space="preserve">4-5</t>
    </r>
    <r>
      <rPr>
        <i val="true"/>
        <sz val="9"/>
        <color rgb="FF888888"/>
        <rFont val="Noto Sans CJK SC"/>
        <family val="2"/>
      </rPr>
      <t xml:space="preserve">月每月</t>
    </r>
    <r>
      <rPr>
        <i val="true"/>
        <sz val="9"/>
        <color rgb="FF888888"/>
        <rFont val="Arial"/>
        <family val="0"/>
        <charset val="1"/>
      </rPr>
      <t xml:space="preserve">10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6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16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7-8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32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9</t>
    </r>
    <r>
      <rPr>
        <i val="true"/>
        <sz val="9"/>
        <color rgb="FF888888"/>
        <rFont val="Noto Sans CJK SC"/>
        <family val="2"/>
      </rPr>
      <t xml:space="preserve">月預告</t>
    </r>
    <r>
      <rPr>
        <i val="true"/>
        <sz val="9"/>
        <color rgb="FF888888"/>
        <rFont val="Arial"/>
        <family val="0"/>
        <charset val="1"/>
      </rPr>
      <t xml:space="preserve">40</t>
    </r>
    <r>
      <rPr>
        <i val="true"/>
        <sz val="9"/>
        <color rgb="FF888888"/>
        <rFont val="Noto Sans CJK SC"/>
        <family val="2"/>
      </rPr>
      <t xml:space="preserve">噸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交聯茂實際量</t>
    </r>
    <r>
      <rPr>
        <i val="true"/>
        <sz val="9"/>
        <color rgb="FF888888"/>
        <rFont val="Arial"/>
        <family val="0"/>
        <charset val="1"/>
      </rPr>
      <t xml:space="preserve">×2</t>
    </r>
    <r>
      <rPr>
        <i val="true"/>
        <sz val="9"/>
        <color rgb="FF888888"/>
        <rFont val="Noto Sans CJK SC"/>
        <family val="2"/>
      </rPr>
      <t xml:space="preserve">＝</t>
    </r>
    <r>
      <rPr>
        <i val="true"/>
        <sz val="9"/>
        <color rgb="FF888888"/>
        <rFont val="Arial"/>
        <family val="0"/>
        <charset val="1"/>
      </rPr>
      <t xml:space="preserve">20→32→64→80</t>
    </r>
    <r>
      <rPr>
        <i val="true"/>
        <sz val="9"/>
        <color rgb="FF888888"/>
        <rFont val="Noto Sans CJK SC"/>
        <family val="2"/>
      </rPr>
      <t xml:space="preserve">噸，</t>
    </r>
    <r>
      <rPr>
        <i val="true"/>
        <sz val="9"/>
        <color rgb="FF888888"/>
        <rFont val="Arial"/>
        <family val="0"/>
        <charset val="1"/>
      </rPr>
      <t xml:space="preserve">5</t>
    </r>
    <r>
      <rPr>
        <i val="true"/>
        <sz val="9"/>
        <color rgb="FF888888"/>
        <rFont val="Noto Sans CJK SC"/>
        <family val="2"/>
      </rPr>
      <t xml:space="preserve">個月翻</t>
    </r>
    <r>
      <rPr>
        <i val="true"/>
        <sz val="9"/>
        <color rgb="FF888888"/>
        <rFont val="Arial"/>
        <family val="0"/>
        <charset val="1"/>
      </rPr>
      <t xml:space="preserve">4</t>
    </r>
    <r>
      <rPr>
        <i val="true"/>
        <sz val="9"/>
        <color rgb="FF888888"/>
        <rFont val="Noto Sans CJK SC"/>
        <family val="2"/>
      </rPr>
      <t xml:space="preserve">倍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9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80</t>
    </r>
    <r>
      <rPr>
        <i val="true"/>
        <sz val="9"/>
        <color rgb="FF888888"/>
        <rFont val="Noto Sans CJK SC"/>
        <family val="2"/>
      </rPr>
      <t xml:space="preserve">噸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對應</t>
    </r>
    <r>
      <rPr>
        <i val="true"/>
        <sz val="9"/>
        <color rgb="FF888888"/>
        <rFont val="Arial"/>
        <family val="0"/>
        <charset val="1"/>
      </rPr>
      <t xml:space="preserve">10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出貨約</t>
    </r>
    <r>
      <rPr>
        <i val="true"/>
        <sz val="9"/>
        <color rgb="FF888888"/>
        <rFont val="Arial"/>
        <family val="0"/>
        <charset val="1"/>
      </rPr>
      <t xml:space="preserve">68-91</t>
    </r>
    <r>
      <rPr>
        <i val="true"/>
        <sz val="9"/>
        <color rgb="FF888888"/>
        <rFont val="Noto Sans CJK SC"/>
        <family val="2"/>
      </rPr>
      <t xml:space="preserve">萬張、占聯茂月產能</t>
    </r>
    <r>
      <rPr>
        <i val="true"/>
        <sz val="9"/>
        <color rgb="FF888888"/>
        <rFont val="Arial"/>
        <family val="0"/>
        <charset val="1"/>
      </rPr>
      <t xml:space="preserve">570</t>
    </r>
    <r>
      <rPr>
        <i val="true"/>
        <sz val="9"/>
        <color rgb="FF888888"/>
        <rFont val="Noto Sans CJK SC"/>
        <family val="2"/>
      </rPr>
      <t xml:space="preserve">萬張的</t>
    </r>
    <r>
      <rPr>
        <i val="true"/>
        <sz val="9"/>
        <color rgb="FF888888"/>
        <rFont val="Arial"/>
        <family val="0"/>
        <charset val="1"/>
      </rPr>
      <t xml:space="preserve">15.9-22.8%</t>
    </r>
    <r>
      <rPr>
        <i val="true"/>
        <sz val="9"/>
        <color rgb="FF888888"/>
        <rFont val="Noto Sans CJK SC"/>
        <family val="2"/>
      </rPr>
      <t xml:space="preserve">；成長率</t>
    </r>
    <r>
      <rPr>
        <i val="true"/>
        <sz val="9"/>
        <color rgb="FF888888"/>
        <rFont val="Arial"/>
        <family val="0"/>
        <charset val="1"/>
      </rPr>
      <t xml:space="preserve">333.2%</t>
    </r>
    <r>
      <rPr>
        <i val="true"/>
        <sz val="9"/>
        <color rgb="FF888888"/>
        <rFont val="Noto Sans CJK SC"/>
        <family val="2"/>
      </rPr>
      <t xml:space="preserve">內含</t>
    </r>
    <r>
      <rPr>
        <i val="true"/>
        <sz val="9"/>
        <color rgb="FF888888"/>
        <rFont val="Arial"/>
        <family val="0"/>
        <charset val="1"/>
      </rPr>
      <t xml:space="preserve">M7 ASP</t>
    </r>
    <r>
      <rPr>
        <i val="true"/>
        <sz val="9"/>
        <color rgb="FF888888"/>
        <rFont val="Noto Sans CJK SC"/>
        <family val="2"/>
      </rPr>
      <t xml:space="preserve">較</t>
    </r>
    <r>
      <rPr>
        <i val="true"/>
        <sz val="9"/>
        <color rgb="FF888888"/>
        <rFont val="Arial"/>
        <family val="0"/>
        <charset val="1"/>
      </rPr>
      <t xml:space="preserve">M6</t>
    </r>
    <r>
      <rPr>
        <i val="true"/>
        <sz val="9"/>
        <color rgb="FF888888"/>
        <rFont val="Noto Sans CJK SC"/>
        <family val="2"/>
      </rPr>
      <t xml:space="preserve">溢價</t>
    </r>
    <r>
      <rPr>
        <i val="true"/>
        <sz val="9"/>
        <color rgb="FF888888"/>
        <rFont val="Arial"/>
        <family val="0"/>
        <charset val="1"/>
      </rPr>
      <t xml:space="preserve">+30%</t>
    </r>
    <r>
      <rPr>
        <i val="true"/>
        <sz val="9"/>
        <color rgb="FF888888"/>
        <rFont val="Noto Sans CJK SC"/>
        <family val="2"/>
      </rPr>
      <t xml:space="preserve">假設</t>
    </r>
    <r>
      <rPr>
        <i val="true"/>
        <sz val="9"/>
        <color rgb="FF888888"/>
        <rFont val="Arial"/>
        <family val="0"/>
        <charset val="1"/>
      </rPr>
      <t xml:space="preserve">(⚠️</t>
    </r>
    <r>
      <rPr>
        <i val="true"/>
        <sz val="9"/>
        <color rgb="FF888888"/>
        <rFont val="Noto Sans CJK SC"/>
        <family val="2"/>
      </rPr>
      <t xml:space="preserve">非公司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建滔會議明文，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筆記與紅隊均標記為模型最脆弱環節，見</t>
    </r>
    <r>
      <rPr>
        <i val="true"/>
        <sz val="9"/>
        <color rgb="FF888888"/>
        <rFont val="Arial"/>
        <family val="0"/>
        <charset val="1"/>
      </rPr>
      <t xml:space="preserve">0_</t>
    </r>
    <r>
      <rPr>
        <i val="true"/>
        <sz val="9"/>
        <color rgb="FF888888"/>
        <rFont val="Noto Sans CJK SC"/>
        <family val="2"/>
      </rPr>
      <t xml:space="preserve">變量總覽風險列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。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</t>
    </r>
    <r>
      <rPr>
        <i val="true"/>
        <sz val="9"/>
        <color rgb="FF888888"/>
        <rFont val="Arial"/>
        <family val="0"/>
        <charset val="1"/>
      </rPr>
      <t xml:space="preserve">Q2 guidance</t>
    </r>
    <r>
      <rPr>
        <i val="true"/>
        <sz val="9"/>
        <color rgb="FF888888"/>
        <rFont val="Noto Sans CJK SC"/>
        <family val="2"/>
      </rPr>
      <t xml:space="preserve">即時上修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營收</t>
    </r>
    <r>
      <rPr>
        <i val="true"/>
        <sz val="9"/>
        <color rgb="FF888888"/>
        <rFont val="Arial"/>
        <family val="0"/>
        <charset val="1"/>
      </rPr>
      <t xml:space="preserve">QoQ 20%→25%</t>
    </r>
    <r>
      <rPr>
        <i val="true"/>
        <sz val="9"/>
        <color rgb="FF888888"/>
        <rFont val="Noto Sans CJK SC"/>
        <family val="2"/>
      </rPr>
      <t xml:space="preserve">、毛利率</t>
    </r>
    <r>
      <rPr>
        <i val="true"/>
        <sz val="9"/>
        <color rgb="FF888888"/>
        <rFont val="Arial"/>
        <family val="0"/>
        <charset val="1"/>
      </rPr>
      <t xml:space="preserve">14-16%→~20%)</t>
    </r>
    <r>
      <rPr>
        <i val="true"/>
        <sz val="9"/>
        <color rgb="FF888888"/>
        <rFont val="Noto Sans CJK SC"/>
        <family val="2"/>
      </rPr>
      <t xml:space="preserve">為佐證之一</t>
    </r>
  </si>
  <si>
    <t xml:space="preserve">毛利率路徑</t>
  </si>
  <si>
    <t xml:space="preserve">23.0% / 27.0% / 30.0%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</si>
  <si>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確認值：投資幕僚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修正版三年模型比較表</t>
    </r>
    <r>
      <rPr>
        <i val="true"/>
        <sz val="9"/>
        <color rgb="FF888888"/>
        <rFont val="Arial"/>
        <family val="0"/>
        <charset val="1"/>
      </rPr>
      <t xml:space="preserve">(GM 20.5%/25.5%/27.0%</t>
    </r>
    <r>
      <rPr>
        <i val="true"/>
        <sz val="9"/>
        <color rgb="FF888888"/>
        <rFont val="Noto Sans CJK SC"/>
        <family val="2"/>
      </rPr>
      <t xml:space="preserve">，本表校準為</t>
    </r>
    <r>
      <rPr>
        <i val="true"/>
        <sz val="9"/>
        <color rgb="FF888888"/>
        <rFont val="Arial"/>
        <family val="0"/>
        <charset val="1"/>
      </rPr>
      <t xml:space="preserve">23%/27%/30%)</t>
    </r>
    <r>
      <rPr>
        <i val="true"/>
        <sz val="9"/>
        <color rgb="FF888888"/>
        <rFont val="Noto Sans CJK SC"/>
        <family val="2"/>
      </rPr>
      <t xml:space="preserve">，對應法說會：</t>
    </r>
    <r>
      <rPr>
        <i val="true"/>
        <sz val="9"/>
        <color rgb="FF888888"/>
        <rFont val="Arial"/>
        <family val="0"/>
        <charset val="1"/>
      </rPr>
      <t xml:space="preserve">Q1 11.4%→Q2</t>
    </r>
    <r>
      <rPr>
        <i val="true"/>
        <sz val="9"/>
        <color rgb="FF888888"/>
        <rFont val="Noto Sans CJK SC"/>
        <family val="2"/>
      </rPr>
      <t xml:space="preserve">迎頭上修至</t>
    </r>
    <r>
      <rPr>
        <i val="true"/>
        <sz val="9"/>
        <color rgb="FF888888"/>
        <rFont val="Arial"/>
        <family val="0"/>
        <charset val="1"/>
      </rPr>
      <t xml:space="preserve">~20%(07/02</t>
    </r>
    <r>
      <rPr>
        <i val="true"/>
        <sz val="9"/>
        <color rgb="FF888888"/>
        <rFont val="Noto Sans CJK SC"/>
        <family val="2"/>
      </rPr>
      <t xml:space="preserve">法說會即時</t>
    </r>
    <r>
      <rPr>
        <i val="true"/>
        <sz val="9"/>
        <color rgb="FF888888"/>
        <rFont val="Arial"/>
        <family val="0"/>
        <charset val="1"/>
      </rPr>
      <t xml:space="preserve">guidance)</t>
    </r>
    <r>
      <rPr>
        <i val="true"/>
        <sz val="9"/>
        <color rgb="FF888888"/>
        <rFont val="Noto Sans CJK SC"/>
        <family val="2"/>
      </rPr>
      <t xml:space="preserve">，長線玻纖布緩解後上看</t>
    </r>
    <r>
      <rPr>
        <i val="true"/>
        <sz val="9"/>
        <color rgb="FF888888"/>
        <rFont val="Arial"/>
        <family val="0"/>
        <charset val="1"/>
      </rPr>
      <t xml:space="preserve">30%(</t>
    </r>
    <r>
      <rPr>
        <i val="true"/>
        <sz val="9"/>
        <color rgb="FF888888"/>
        <rFont val="Noto Sans CJK SC"/>
        <family val="2"/>
      </rPr>
      <t xml:space="preserve">公司口徑：</t>
    </r>
    <r>
      <rPr>
        <i val="true"/>
        <sz val="9"/>
        <color rgb="FF888888"/>
        <rFont val="Arial"/>
        <family val="0"/>
        <charset val="1"/>
      </rPr>
      <t xml:space="preserve">6-12</t>
    </r>
    <r>
      <rPr>
        <i val="true"/>
        <sz val="9"/>
        <color rgb="FF888888"/>
        <rFont val="Noto Sans CJK SC"/>
        <family val="2"/>
      </rPr>
      <t xml:space="preserve">個月內不會完全緩解</t>
    </r>
    <r>
      <rPr>
        <i val="true"/>
        <sz val="9"/>
        <color rgb="FF888888"/>
        <rFont val="Arial"/>
        <family val="0"/>
        <charset val="1"/>
      </rPr>
      <t xml:space="preserve">)</t>
    </r>
  </si>
  <si>
    <t xml:space="preserve">EPS</t>
  </si>
  <si>
    <r>
      <rPr>
        <sz val="10"/>
        <color rgb="FF000000"/>
        <rFont val="Noto Sans CJK SC"/>
        <family val="2"/>
      </rPr>
      <t xml:space="preserve">目標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區間</t>
    </r>
  </si>
  <si>
    <t xml:space="preserve">25.0x - 30.0x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</si>
  <si>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確認值：投資幕僚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報告</t>
    </r>
    <r>
      <rPr>
        <i val="true"/>
        <sz val="9"/>
        <color rgb="FF888888"/>
        <rFont val="Arial"/>
        <family val="0"/>
        <charset val="1"/>
      </rPr>
      <t xml:space="preserve">step7</t>
    </r>
    <r>
      <rPr>
        <i val="true"/>
        <sz val="9"/>
        <color rgb="FF888888"/>
        <rFont val="Noto Sans CJK SC"/>
        <family val="2"/>
      </rPr>
      <t xml:space="preserve">估值錨點原文「</t>
    </r>
    <r>
      <rPr>
        <i val="true"/>
        <sz val="9"/>
        <color rgb="FF888888"/>
        <rFont val="Arial"/>
        <family val="0"/>
        <charset val="1"/>
      </rPr>
      <t xml:space="preserve">2027E</t>
    </r>
    <r>
      <rPr>
        <i val="true"/>
        <sz val="9"/>
        <color rgb="FF888888"/>
        <rFont val="Noto Sans CJK SC"/>
        <family val="2"/>
      </rPr>
      <t xml:space="preserve">若給</t>
    </r>
    <r>
      <rPr>
        <i val="true"/>
        <sz val="9"/>
        <color rgb="FF888888"/>
        <rFont val="Arial"/>
        <family val="0"/>
        <charset val="1"/>
      </rPr>
      <t xml:space="preserve">25x/30x</t>
    </r>
    <r>
      <rPr>
        <i val="true"/>
        <sz val="9"/>
        <color rgb="FF888888"/>
        <rFont val="Noto Sans CJK SC"/>
        <family val="2"/>
      </rPr>
      <t xml:space="preserve">」，與凱基投顧</t>
    </r>
    <r>
      <rPr>
        <i val="true"/>
        <sz val="9"/>
        <color rgb="FF888888"/>
        <rFont val="Arial"/>
        <family val="0"/>
        <charset val="1"/>
      </rPr>
      <t xml:space="preserve">30x</t>
    </r>
    <r>
      <rPr>
        <i val="true"/>
        <sz val="9"/>
        <color rgb="FF888888"/>
        <rFont val="Noto Sans CJK SC"/>
        <family val="2"/>
      </rPr>
      <t xml:space="preserve">目標價</t>
    </r>
    <r>
      <rPr>
        <i val="true"/>
        <sz val="9"/>
        <color rgb="FF888888"/>
        <rFont val="Arial"/>
        <family val="0"/>
        <charset val="1"/>
      </rPr>
      <t xml:space="preserve">442</t>
    </r>
    <r>
      <rPr>
        <i val="true"/>
        <sz val="9"/>
        <color rgb="FF888888"/>
        <rFont val="Noto Sans CJK SC"/>
        <family val="2"/>
      </rPr>
      <t xml:space="preserve">元一致</t>
    </r>
  </si>
  <si>
    <t xml:space="preserve">目標價</t>
  </si>
  <si>
    <r>
      <rPr>
        <sz val="10"/>
        <color rgb="FF000000"/>
        <rFont val="Noto Sans CJK SC"/>
        <family val="2"/>
      </rPr>
      <t xml:space="preserve">現況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基準</t>
    </r>
  </si>
  <si>
    <t xml:space="preserve">94.13x</t>
  </si>
  <si>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收盤：</t>
    </r>
    <r>
      <rPr>
        <i val="true"/>
        <sz val="9"/>
        <color rgb="FF888888"/>
        <rFont val="Arial"/>
        <family val="0"/>
        <charset val="1"/>
      </rPr>
      <t xml:space="preserve">385.0</t>
    </r>
    <r>
      <rPr>
        <i val="true"/>
        <sz val="9"/>
        <color rgb="FF888888"/>
        <rFont val="Noto Sans CJK SC"/>
        <family val="2"/>
      </rPr>
      <t xml:space="preserve">元，本益比</t>
    </r>
    <r>
      <rPr>
        <i val="true"/>
        <sz val="9"/>
        <color rgb="FF888888"/>
        <rFont val="Arial"/>
        <family val="0"/>
        <charset val="1"/>
      </rPr>
      <t xml:space="preserve">94.13x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80.03x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抓取（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確認時為</t>
    </r>
    <r>
      <rPr>
        <i val="true"/>
        <sz val="9"/>
        <color rgb="FF888888"/>
        <rFont val="Arial"/>
        <family val="0"/>
        <charset val="1"/>
      </rPr>
      <t xml:space="preserve">394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/96.33x</t>
    </r>
    <r>
      <rPr>
        <i val="true"/>
        <sz val="9"/>
        <color rgb="FF888888"/>
        <rFont val="Noto Sans CJK SC"/>
        <family val="2"/>
      </rPr>
      <t xml:space="preserve">，本次更新為最新收盤價）</t>
    </r>
  </si>
  <si>
    <t xml:space="preserve">對照組</t>
  </si>
  <si>
    <t xml:space="preserve">產業平均成長率</t>
  </si>
  <si>
    <t xml:space="preserve">20%</t>
  </si>
  <si>
    <r>
      <rPr>
        <i val="true"/>
        <sz val="9"/>
        <color rgb="FF888888"/>
        <rFont val="Noto Sans CJK SC"/>
        <family val="2"/>
      </rPr>
      <t xml:space="preserve">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確認值：高速</t>
    </r>
    <r>
      <rPr>
        <i val="true"/>
        <sz val="9"/>
        <color rgb="FF888888"/>
        <rFont val="Arial"/>
        <family val="0"/>
        <charset val="1"/>
      </rPr>
      <t xml:space="preserve">CCL/AI</t>
    </r>
    <r>
      <rPr>
        <i val="true"/>
        <sz val="9"/>
        <color rgb="FF888888"/>
        <rFont val="Noto Sans CJK SC"/>
        <family val="2"/>
      </rPr>
      <t xml:space="preserve">供應鏈同業（台光電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台燿等）中期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成長推估，取</t>
    </r>
    <r>
      <rPr>
        <i val="true"/>
        <sz val="9"/>
        <color rgb="FF888888"/>
        <rFont val="Arial"/>
        <family val="0"/>
        <charset val="1"/>
      </rPr>
      <t xml:space="preserve">20%</t>
    </r>
    <r>
      <rPr>
        <i val="true"/>
        <sz val="9"/>
        <color rgb="FF888888"/>
        <rFont val="Noto Sans CJK SC"/>
        <family val="2"/>
      </rPr>
      <t xml:space="preserve">（未逐一驗證同業財報，屬推估）</t>
    </r>
  </si>
  <si>
    <t xml:space="preserve">隱含成長率檢核</t>
  </si>
  <si>
    <r>
      <rPr>
        <sz val="10"/>
        <color rgb="FF000000"/>
        <rFont val="Noto Sans CJK SC"/>
        <family val="2"/>
      </rPr>
      <t xml:space="preserve">⚠️基本情境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錨點雙軌並陳（</t>
    </r>
    <r>
      <rPr>
        <sz val="10"/>
        <color rgb="FF000000"/>
        <rFont val="Arial"/>
        <family val="0"/>
        <charset val="1"/>
      </rPr>
      <t xml:space="preserve">0710</t>
    </r>
    <r>
      <rPr>
        <sz val="10"/>
        <color rgb="FF000000"/>
        <rFont val="Noto Sans CJK SC"/>
        <family val="2"/>
      </rPr>
      <t xml:space="preserve">依</t>
    </r>
    <r>
      <rPr>
        <sz val="10"/>
        <color rgb="FF000000"/>
        <rFont val="Arial"/>
        <family val="0"/>
        <charset val="1"/>
      </rPr>
      <t xml:space="preserve">Wallace</t>
    </r>
    <r>
      <rPr>
        <sz val="10"/>
        <color rgb="FF000000"/>
        <rFont val="Noto Sans CJK SC"/>
        <family val="2"/>
      </rPr>
      <t xml:space="preserve">指示，兩組並列不預設單一錨點）</t>
    </r>
  </si>
  <si>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活公式輸出：</t>
    </r>
    <r>
      <rPr>
        <sz val="10"/>
        <color rgb="FF000000"/>
        <rFont val="Arial"/>
        <family val="0"/>
        <charset val="1"/>
      </rPr>
      <t xml:space="preserve">2026E/27E/28E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14.17/25.76/40.78</t>
    </r>
    <r>
      <rPr>
        <sz val="10"/>
        <color rgb="FF000000"/>
        <rFont val="Noto Sans CJK SC"/>
        <family val="2"/>
      </rPr>
      <t xml:space="preserve">元；</t>
    </r>
    <r>
      <rPr>
        <sz val="10"/>
        <color rgb="FF000000"/>
        <rFont val="Arial"/>
        <family val="0"/>
        <charset val="1"/>
      </rPr>
      <t xml:space="preserve">07/01</t>
    </r>
    <r>
      <rPr>
        <sz val="10"/>
        <color rgb="FF000000"/>
        <rFont val="Noto Sans CJK SC"/>
        <family val="2"/>
      </rPr>
      <t xml:space="preserve">報告文字版：</t>
    </r>
    <r>
      <rPr>
        <sz val="10"/>
        <color rgb="FF000000"/>
        <rFont val="Arial"/>
        <family val="0"/>
        <charset val="1"/>
      </rPr>
      <t xml:space="preserve">10.8/18.6/26.0</t>
    </r>
    <r>
      <rPr>
        <sz val="10"/>
        <color rgb="FF000000"/>
        <rFont val="Noto Sans CJK SC"/>
        <family val="2"/>
      </rPr>
      <t xml:space="preserve">元</t>
    </r>
  </si>
  <si>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確認的</t>
    </r>
    <r>
      <rPr>
        <i val="true"/>
        <sz val="9"/>
        <color rgb="FF888888"/>
        <rFont val="Arial"/>
        <family val="0"/>
        <charset val="1"/>
      </rPr>
      <t xml:space="preserve">1_</t>
    </r>
    <r>
      <rPr>
        <i val="true"/>
        <sz val="9"/>
        <color rgb="FF888888"/>
        <rFont val="Noto Sans CJK SC"/>
        <family val="2"/>
      </rPr>
      <t xml:space="preserve">輸入區假設（</t>
    </r>
    <r>
      <rPr>
        <i val="true"/>
        <sz val="9"/>
        <color rgb="FF888888"/>
        <rFont val="Arial"/>
        <family val="0"/>
        <charset val="1"/>
      </rPr>
      <t xml:space="preserve">M7 2026</t>
    </r>
    <r>
      <rPr>
        <i val="true"/>
        <sz val="9"/>
        <color rgb="FF888888"/>
        <rFont val="Noto Sans CJK SC"/>
        <family val="2"/>
      </rPr>
      <t xml:space="preserve">成長</t>
    </r>
    <r>
      <rPr>
        <i val="true"/>
        <sz val="9"/>
        <color rgb="FF888888"/>
        <rFont val="Arial"/>
        <family val="0"/>
        <charset val="1"/>
      </rPr>
      <t xml:space="preserve">333.2%</t>
    </r>
    <r>
      <rPr>
        <i val="true"/>
        <sz val="9"/>
        <color rgb="FF888888"/>
        <rFont val="Noto Sans CJK SC"/>
        <family val="2"/>
      </rPr>
      <t xml:space="preserve">、</t>
    </r>
    <r>
      <rPr>
        <i val="true"/>
        <sz val="9"/>
        <color rgb="FF888888"/>
        <rFont val="Arial"/>
        <family val="0"/>
        <charset val="1"/>
      </rPr>
      <t xml:space="preserve">GM23%</t>
    </r>
    <r>
      <rPr>
        <i val="true"/>
        <sz val="9"/>
        <color rgb="FF888888"/>
        <rFont val="Noto Sans CJK SC"/>
        <family val="2"/>
      </rPr>
      <t xml:space="preserve">等）代入公式後，實際算出的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（</t>
    </r>
    <r>
      <rPr>
        <i val="true"/>
        <sz val="9"/>
        <color rgb="FF888888"/>
        <rFont val="Arial"/>
        <family val="0"/>
        <charset val="1"/>
      </rPr>
      <t xml:space="preserve">14.17/25.76/40.78</t>
    </r>
    <r>
      <rPr>
        <i val="true"/>
        <sz val="9"/>
        <color rgb="FF888888"/>
        <rFont val="Noto Sans CJK SC"/>
        <family val="2"/>
      </rPr>
      <t xml:space="preserve">）明顯高於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報告文字敘述的修正版模型（</t>
    </r>
    <r>
      <rPr>
        <i val="true"/>
        <sz val="9"/>
        <color rgb="FF888888"/>
        <rFont val="Arial"/>
        <family val="0"/>
        <charset val="1"/>
      </rPr>
      <t xml:space="preserve">10.8/18.6/26.0</t>
    </r>
    <r>
      <rPr>
        <i val="true"/>
        <sz val="9"/>
        <color rgb="FF888888"/>
        <rFont val="Noto Sans CJK SC"/>
        <family val="2"/>
      </rPr>
      <t xml:space="preserve">）。研判為</t>
    </r>
    <r>
      <rPr>
        <i val="true"/>
        <sz val="9"/>
        <color rgb="FF888888"/>
        <rFont val="Arial"/>
        <family val="0"/>
        <charset val="1"/>
      </rPr>
      <t xml:space="preserve">07/01-07/06</t>
    </r>
    <r>
      <rPr>
        <i val="true"/>
        <sz val="9"/>
        <color rgb="FF888888"/>
        <rFont val="Noto Sans CJK SC"/>
        <family val="2"/>
      </rPr>
      <t xml:space="preserve">間模型持續校準但敘述文字未同步更新所致。</t>
    </r>
    <r>
      <rPr>
        <i val="true"/>
        <sz val="9"/>
        <color rgb="FF888888"/>
        <rFont val="Arial"/>
        <family val="0"/>
        <charset val="1"/>
      </rPr>
      <t xml:space="preserve">Wallace 0710</t>
    </r>
    <r>
      <rPr>
        <i val="true"/>
        <sz val="9"/>
        <color rgb="FF888888"/>
        <rFont val="Noto Sans CJK SC"/>
        <family val="2"/>
      </rPr>
      <t xml:space="preserve">指示：兩組數字都列出，不預設單一錨點，</t>
    </r>
    <r>
      <rPr>
        <i val="true"/>
        <sz val="9"/>
        <color rgb="FF888888"/>
        <rFont val="Arial"/>
        <family val="0"/>
        <charset val="1"/>
      </rPr>
      <t xml:space="preserve">PDF</t>
    </r>
    <r>
      <rPr>
        <i val="true"/>
        <sz val="9"/>
        <color rgb="FF888888"/>
        <rFont val="Noto Sans CJK SC"/>
        <family val="2"/>
      </rPr>
      <t xml:space="preserve">中須同時呈現並說明差異來源，交由讀者自行判斷</t>
    </r>
  </si>
  <si>
    <r>
      <rPr>
        <sz val="10"/>
        <color rgb="FF000000"/>
        <rFont val="Noto Sans CJK SC"/>
        <family val="2"/>
      </rPr>
      <t xml:space="preserve">估值基準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透明度揭露</t>
    </r>
  </si>
  <si>
    <r>
      <rPr>
        <sz val="10"/>
        <color rgb="FF000000"/>
        <rFont val="Noto Sans CJK SC"/>
        <family val="2"/>
      </rPr>
      <t xml:space="preserve">法人共識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對照（次要來源，</t>
    </r>
    <r>
      <rPr>
        <sz val="10"/>
        <color rgb="FF000000"/>
        <rFont val="Arial"/>
        <family val="0"/>
        <charset val="1"/>
      </rPr>
      <t xml:space="preserve">uanalyze 2026-07-10</t>
    </r>
    <r>
      <rPr>
        <sz val="10"/>
        <color rgb="FF000000"/>
        <rFont val="Noto Sans CJK SC"/>
        <family val="2"/>
      </rPr>
      <t xml:space="preserve">抓取）</t>
    </r>
  </si>
  <si>
    <r>
      <rPr>
        <sz val="10"/>
        <color rgb="FF000000"/>
        <rFont val="Arial"/>
        <family val="0"/>
        <charset val="1"/>
      </rPr>
      <t xml:space="preserve">2026F/27F/28F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9.54/17.14/14.80</t>
    </r>
    <r>
      <rPr>
        <sz val="10"/>
        <color rgb="FF000000"/>
        <rFont val="Noto Sans CJK SC"/>
        <family val="2"/>
      </rPr>
      <t xml:space="preserve">元（另一來源</t>
    </r>
    <r>
      <rPr>
        <sz val="10"/>
        <color rgb="FF000000"/>
        <rFont val="Arial"/>
        <family val="0"/>
        <charset val="1"/>
      </rPr>
      <t xml:space="preserve">aistockmap.com</t>
    </r>
    <r>
      <rPr>
        <sz val="10"/>
        <color rgb="FF000000"/>
        <rFont val="Noto Sans CJK SC"/>
        <family val="2"/>
      </rPr>
      <t xml:space="preserve">標示</t>
    </r>
    <r>
      <rPr>
        <sz val="10"/>
        <color rgb="FF000000"/>
        <rFont val="Arial"/>
        <family val="0"/>
        <charset val="1"/>
      </rPr>
      <t xml:space="preserve">2026F</t>
    </r>
    <r>
      <rPr>
        <sz val="10"/>
        <color rgb="FF000000"/>
        <rFont val="Noto Sans CJK SC"/>
        <family val="2"/>
      </rPr>
      <t xml:space="preserve">僅</t>
    </r>
    <r>
      <rPr>
        <sz val="10"/>
        <color rgb="FF000000"/>
        <rFont val="Arial"/>
        <family val="0"/>
        <charset val="1"/>
      </rPr>
      <t xml:space="preserve">7.42</t>
    </r>
    <r>
      <rPr>
        <sz val="10"/>
        <color rgb="FF000000"/>
        <rFont val="Noto Sans CJK SC"/>
        <family val="2"/>
      </rPr>
      <t xml:space="preserve">元）</t>
    </r>
  </si>
  <si>
    <r>
      <rPr>
        <i val="true"/>
        <sz val="9"/>
        <color rgb="FF888888"/>
        <rFont val="Noto Sans CJK SC"/>
        <family val="2"/>
      </rPr>
      <t xml:space="preserve">法人共識與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自製模型方向一致但幅度保守許多，且法人共識隱含</t>
    </r>
    <r>
      <rPr>
        <i val="true"/>
        <sz val="9"/>
        <color rgb="FF888888"/>
        <rFont val="Arial"/>
        <family val="0"/>
        <charset val="1"/>
      </rPr>
      <t xml:space="preserve">2028</t>
    </r>
    <r>
      <rPr>
        <i val="true"/>
        <sz val="9"/>
        <color rgb="FF888888"/>
        <rFont val="Noto Sans CJK SC"/>
        <family val="2"/>
      </rPr>
      <t xml:space="preserve">年循環見頂回落（本表已新增「循環見頂」情境對應此觀點）；</t>
    </r>
    <r>
      <rPr>
        <i val="true"/>
        <sz val="9"/>
        <color rgb="FF888888"/>
        <rFont val="Arial"/>
        <family val="0"/>
        <charset val="1"/>
      </rPr>
      <t xml:space="preserve">uanalyze</t>
    </r>
    <r>
      <rPr>
        <i val="true"/>
        <sz val="9"/>
        <color rgb="FF888888"/>
        <rFont val="Noto Sans CJK SC"/>
        <family val="2"/>
      </rPr>
      <t xml:space="preserve">近三筆修訂快照本身也在</t>
    </r>
    <r>
      <rPr>
        <i val="true"/>
        <sz val="9"/>
        <color rgb="FF888888"/>
        <rFont val="Arial"/>
        <family val="0"/>
        <charset val="1"/>
      </rPr>
      <t xml:space="preserve">9.79/10.70/8.14</t>
    </r>
    <r>
      <rPr>
        <i val="true"/>
        <sz val="9"/>
        <color rgb="FF888888"/>
        <rFont val="Noto Sans CJK SC"/>
        <family val="2"/>
      </rPr>
      <t xml:space="preserve">元間劇烈擺動，顯示法人預估仍在快速收斂中，未穩定</t>
    </r>
  </si>
  <si>
    <t xml:space="preserve">情境設計依據</t>
  </si>
  <si>
    <r>
      <rPr>
        <sz val="10"/>
        <color rgb="FF000000"/>
        <rFont val="Arial"/>
        <family val="0"/>
        <charset val="1"/>
      </rPr>
      <t xml:space="preserve">mPPO</t>
    </r>
    <r>
      <rPr>
        <sz val="10"/>
        <color rgb="FF000000"/>
        <rFont val="Noto Sans CJK SC"/>
        <family val="2"/>
      </rPr>
      <t xml:space="preserve">叫貨通路查核（本次最重要新證據，非公開資料，</t>
    </r>
    <r>
      <rPr>
        <sz val="10"/>
        <color rgb="FF000000"/>
        <rFont val="Arial"/>
        <family val="0"/>
        <charset val="1"/>
      </rPr>
      <t xml:space="preserve">2026-07-01/06 Wallace/codex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</si>
  <si>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Noto Sans CJK SC"/>
        <family val="2"/>
      </rPr>
      <t xml:space="preserve">宜蘭出貨</t>
    </r>
    <r>
      <rPr>
        <sz val="10"/>
        <color rgb="FF000000"/>
        <rFont val="Arial"/>
        <family val="0"/>
        <charset val="1"/>
      </rPr>
      <t xml:space="preserve">4-5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月→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噸→</t>
    </r>
    <r>
      <rPr>
        <sz val="10"/>
        <color rgb="FF000000"/>
        <rFont val="Arial"/>
        <family val="0"/>
        <charset val="1"/>
      </rPr>
      <t xml:space="preserve">7-8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噸→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月預告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交聯茂實際量</t>
    </r>
    <r>
      <rPr>
        <sz val="10"/>
        <color rgb="FF000000"/>
        <rFont val="Arial"/>
        <family val="0"/>
        <charset val="1"/>
      </rPr>
      <t xml:space="preserve">×2)</t>
    </r>
  </si>
  <si>
    <r>
      <rPr>
        <i val="true"/>
        <sz val="9"/>
        <color rgb="FF888888"/>
        <rFont val="Noto Sans CJK SC"/>
        <family val="2"/>
      </rPr>
      <t xml:space="preserve">獨立於公司</t>
    </r>
    <r>
      <rPr>
        <i val="true"/>
        <sz val="9"/>
        <color rgb="FF888888"/>
        <rFont val="Arial"/>
        <family val="0"/>
        <charset val="1"/>
      </rPr>
      <t xml:space="preserve">guidance</t>
    </r>
    <r>
      <rPr>
        <i val="true"/>
        <sz val="9"/>
        <color rgb="FF888888"/>
        <rFont val="Noto Sans CJK SC"/>
        <family val="2"/>
      </rPr>
      <t xml:space="preserve">與法人預估之外的物理量體證據，解釋</t>
    </r>
    <r>
      <rPr>
        <i val="true"/>
        <sz val="9"/>
        <color rgb="FF888888"/>
        <rFont val="Arial"/>
        <family val="0"/>
        <charset val="1"/>
      </rPr>
      <t xml:space="preserve">26Q1</t>
    </r>
    <r>
      <rPr>
        <i val="true"/>
        <sz val="9"/>
        <color rgb="FF888888"/>
        <rFont val="Noto Sans CJK SC"/>
        <family val="2"/>
      </rPr>
      <t xml:space="preserve">「量增質弱」是</t>
    </r>
    <r>
      <rPr>
        <i val="true"/>
        <sz val="9"/>
        <color rgb="FF888888"/>
        <rFont val="Arial"/>
        <family val="0"/>
        <charset val="1"/>
      </rPr>
      <t xml:space="preserve">Q1</t>
    </r>
    <r>
      <rPr>
        <i val="true"/>
        <sz val="9"/>
        <color rgb="FF888888"/>
        <rFont val="Noto Sans CJK SC"/>
        <family val="2"/>
      </rPr>
      <t xml:space="preserve">消化庫存的空窗期</t>
    </r>
    <r>
      <rPr>
        <i val="true"/>
        <sz val="9"/>
        <color rgb="FF888888"/>
        <rFont val="Arial"/>
        <family val="0"/>
        <charset val="1"/>
      </rPr>
      <t xml:space="preserve">(mPPO</t>
    </r>
    <r>
      <rPr>
        <i val="true"/>
        <sz val="9"/>
        <color rgb="FF888888"/>
        <rFont val="Noto Sans CJK SC"/>
        <family val="2"/>
      </rPr>
      <t xml:space="preserve">掛零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26Q2</t>
    </r>
    <r>
      <rPr>
        <i val="true"/>
        <sz val="9"/>
        <color rgb="FF888888"/>
        <rFont val="Noto Sans CJK SC"/>
        <family val="2"/>
      </rPr>
      <t xml:space="preserve">起量體才真正跳升，與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</t>
    </r>
    <r>
      <rPr>
        <i val="true"/>
        <sz val="9"/>
        <color rgb="FF888888"/>
        <rFont val="Arial"/>
        <family val="0"/>
        <charset val="1"/>
      </rPr>
      <t xml:space="preserve">Q2 guidance</t>
    </r>
    <r>
      <rPr>
        <i val="true"/>
        <sz val="9"/>
        <color rgb="FF888888"/>
        <rFont val="Noto Sans CJK SC"/>
        <family val="2"/>
      </rPr>
      <t xml:space="preserve">上修方向一致；但由此推算的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營收占比</t>
    </r>
    <r>
      <rPr>
        <i val="true"/>
        <sz val="9"/>
        <color rgb="FF888888"/>
        <rFont val="Arial"/>
        <family val="0"/>
        <charset val="1"/>
      </rPr>
      <t xml:space="preserve">(32-47%)</t>
    </r>
    <r>
      <rPr>
        <i val="true"/>
        <sz val="9"/>
        <color rgb="FF888888"/>
        <rFont val="Noto Sans CJK SC"/>
        <family val="2"/>
      </rPr>
      <t xml:space="preserve">遠高於優分析法人估計的</t>
    </r>
    <r>
      <rPr>
        <i val="true"/>
        <sz val="9"/>
        <color rgb="FF888888"/>
        <rFont val="Arial"/>
        <family val="0"/>
        <charset val="1"/>
      </rPr>
      <t xml:space="preserve">10-20%</t>
    </r>
    <r>
      <rPr>
        <i val="true"/>
        <sz val="9"/>
        <color rgb="FF888888"/>
        <rFont val="Noto Sans CJK SC"/>
        <family val="2"/>
      </rPr>
      <t xml:space="preserve">，差距主要來自</t>
    </r>
    <r>
      <rPr>
        <i val="true"/>
        <sz val="9"/>
        <color rgb="FF888888"/>
        <rFont val="Arial"/>
        <family val="0"/>
        <charset val="1"/>
      </rPr>
      <t xml:space="preserve">M7 ASP</t>
    </r>
    <r>
      <rPr>
        <i val="true"/>
        <sz val="9"/>
        <color rgb="FF888888"/>
        <rFont val="Noto Sans CJK SC"/>
        <family val="2"/>
      </rPr>
      <t xml:space="preserve">溢價</t>
    </r>
    <r>
      <rPr>
        <i val="true"/>
        <sz val="9"/>
        <color rgb="FF888888"/>
        <rFont val="Arial"/>
        <family val="0"/>
        <charset val="1"/>
      </rPr>
      <t xml:space="preserve">+30%</t>
    </r>
    <r>
      <rPr>
        <i val="true"/>
        <sz val="9"/>
        <color rgb="FF888888"/>
        <rFont val="Noto Sans CJK SC"/>
        <family val="2"/>
      </rPr>
      <t xml:space="preserve">假設，此假設未經公司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建滔會議文件明文證實</t>
    </r>
  </si>
  <si>
    <r>
      <rPr>
        <sz val="10"/>
        <color rgb="FF000000"/>
        <rFont val="Arial"/>
        <family val="0"/>
        <charset val="1"/>
      </rPr>
      <t xml:space="preserve">M7</t>
    </r>
    <r>
      <rPr>
        <sz val="10"/>
        <color rgb="FF000000"/>
        <rFont val="Noto Sans CJK SC"/>
        <family val="2"/>
      </rPr>
      <t xml:space="preserve">成長率假設依據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最脆弱環節</t>
    </r>
  </si>
  <si>
    <r>
      <rPr>
        <sz val="10"/>
        <color rgb="FF000000"/>
        <rFont val="Noto Sans CJK SC"/>
        <family val="2"/>
      </rPr>
      <t xml:space="preserve">建滔</t>
    </r>
    <r>
      <rPr>
        <sz val="10"/>
        <color rgb="FF000000"/>
        <rFont val="Arial"/>
        <family val="0"/>
        <charset val="1"/>
      </rPr>
      <t xml:space="preserve">CCL</t>
    </r>
    <r>
      <rPr>
        <sz val="10"/>
        <color rgb="FF000000"/>
        <rFont val="Noto Sans CJK SC"/>
        <family val="2"/>
      </rPr>
      <t xml:space="preserve">產業專家會議交叉驗證（</t>
    </r>
    <r>
      <rPr>
        <sz val="10"/>
        <color rgb="FF000000"/>
        <rFont val="Arial"/>
        <family val="0"/>
        <charset val="1"/>
      </rPr>
      <t xml:space="preserve">2026/06/20</t>
    </r>
    <r>
      <rPr>
        <sz val="10"/>
        <color rgb="FF000000"/>
        <rFont val="Noto Sans CJK SC"/>
        <family val="2"/>
      </rPr>
      <t xml:space="preserve">，行業視角）</t>
    </r>
  </si>
  <si>
    <r>
      <rPr>
        <sz val="10"/>
        <color rgb="FF000000"/>
        <rFont val="Noto Sans CJK SC"/>
        <family val="2"/>
      </rPr>
      <t xml:space="preserve">傳統</t>
    </r>
    <r>
      <rPr>
        <sz val="10"/>
        <color rgb="FF000000"/>
        <rFont val="Arial"/>
        <family val="0"/>
        <charset val="1"/>
      </rPr>
      <t xml:space="preserve">CCL 2026</t>
    </r>
    <r>
      <rPr>
        <sz val="10"/>
        <color rgb="FF000000"/>
        <rFont val="Noto Sans CJK SC"/>
        <family val="2"/>
      </rPr>
      <t xml:space="preserve">年已連漲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次、累計價格突破歷史高點；⚠️「聯茂、騰輝因拿料能力較弱，稼動率無法滿載」</t>
    </r>
  </si>
  <si>
    <r>
      <rPr>
        <i val="true"/>
        <sz val="9"/>
        <color rgb="FF888888"/>
        <rFont val="Noto Sans CJK SC"/>
        <family val="2"/>
      </rPr>
      <t xml:space="preserve">產業面確認漲價循環真實且基礎扎實（本輪有</t>
    </r>
    <r>
      <rPr>
        <i val="true"/>
        <sz val="9"/>
        <color rgb="FF888888"/>
        <rFont val="Arial"/>
        <family val="0"/>
        <charset val="1"/>
      </rPr>
      <t xml:space="preserve">AI</t>
    </r>
    <r>
      <rPr>
        <i val="true"/>
        <sz val="9"/>
        <color rgb="FF888888"/>
        <rFont val="Noto Sans CJK SC"/>
        <family val="2"/>
      </rPr>
      <t xml:space="preserve">需求支撐，異於</t>
    </r>
    <r>
      <rPr>
        <i val="true"/>
        <sz val="9"/>
        <color rgb="FF888888"/>
        <rFont val="Arial"/>
        <family val="0"/>
        <charset val="1"/>
      </rPr>
      <t xml:space="preserve">2021</t>
    </r>
    <r>
      <rPr>
        <i val="true"/>
        <sz val="9"/>
        <color rgb="FF888888"/>
        <rFont val="Noto Sans CJK SC"/>
        <family val="2"/>
      </rPr>
      <t xml:space="preserve">年純缺料行情）；但明確點名聯茂在原物料議價力上弱於龍頭廠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暗指台光電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生益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放量故事屬「後進者追趕」而非「龍頭延續優勢」，風險報酬輪廓與買龍頭股不同</t>
    </r>
  </si>
  <si>
    <r>
      <rPr>
        <sz val="10"/>
        <color rgb="FF000000"/>
        <rFont val="Noto Sans CJK SC"/>
        <family val="2"/>
      </rPr>
      <t xml:space="preserve">產業背景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競爭地位風險</t>
    </r>
  </si>
  <si>
    <r>
      <rPr>
        <sz val="10"/>
        <color rgb="FF000000"/>
        <rFont val="Noto Sans CJK SC"/>
        <family val="2"/>
      </rPr>
      <t xml:space="preserve">籌碼面：</t>
    </r>
    <r>
      <rPr>
        <sz val="10"/>
        <color rgb="FF000000"/>
        <rFont val="Arial"/>
        <family val="0"/>
        <charset val="1"/>
      </rPr>
      <t xml:space="preserve">TDCC</t>
    </r>
    <r>
      <rPr>
        <sz val="10"/>
        <color rgb="FF000000"/>
        <rFont val="Noto Sans CJK SC"/>
        <family val="2"/>
      </rPr>
      <t xml:space="preserve">大戶異常，</t>
    </r>
    <r>
      <rPr>
        <sz val="10"/>
        <color rgb="FF000000"/>
        <rFont val="Arial"/>
        <family val="0"/>
        <charset val="1"/>
      </rPr>
      <t xml:space="preserve">Wallace 0710</t>
    </r>
    <r>
      <rPr>
        <sz val="10"/>
        <color rgb="FF000000"/>
        <rFont val="Noto Sans CJK SC"/>
        <family val="2"/>
      </rPr>
      <t xml:space="preserve">確認維持綠燈</t>
    </r>
  </si>
  <si>
    <r>
      <rPr>
        <sz val="10"/>
        <color rgb="FF000000"/>
        <rFont val="Arial"/>
        <family val="0"/>
        <charset val="1"/>
      </rPr>
      <t xml:space="preserve">0626</t>
    </r>
    <r>
      <rPr>
        <sz val="10"/>
        <color rgb="FF000000"/>
        <rFont val="Noto Sans CJK SC"/>
        <family val="2"/>
      </rPr>
      <t xml:space="preserve">當週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張以上大戶</t>
    </r>
    <r>
      <rPr>
        <sz val="10"/>
        <color rgb="FF000000"/>
        <rFont val="Arial"/>
        <family val="0"/>
        <charset val="1"/>
      </rPr>
      <t xml:space="preserve">+7.69pp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65.32%</t>
    </r>
    <r>
      <rPr>
        <sz val="10"/>
        <color rgb="FF000000"/>
        <rFont val="Noto Sans CJK SC"/>
        <family val="2"/>
      </rPr>
      <t xml:space="preserve">，同週全體股東數</t>
    </r>
    <r>
      <rPr>
        <sz val="10"/>
        <color rgb="FF000000"/>
        <rFont val="Arial"/>
        <family val="0"/>
        <charset val="1"/>
      </rPr>
      <t xml:space="preserve">-19%</t>
    </r>
  </si>
  <si>
    <r>
      <rPr>
        <i val="true"/>
        <sz val="9"/>
        <color rgb="FF888888"/>
        <rFont val="Noto Sans CJK SC"/>
        <family val="2"/>
      </rPr>
      <t xml:space="preserve">本次</t>
    </r>
    <r>
      <rPr>
        <i val="true"/>
        <sz val="9"/>
        <color rgb="FF888888"/>
        <rFont val="Arial"/>
        <family val="0"/>
        <charset val="1"/>
      </rPr>
      <t xml:space="preserve">session</t>
    </r>
    <r>
      <rPr>
        <i val="true"/>
        <sz val="9"/>
        <color rgb="FF888888"/>
        <rFont val="Noto Sans CJK SC"/>
        <family val="2"/>
      </rPr>
      <t xml:space="preserve">獨立</t>
    </r>
    <r>
      <rPr>
        <i val="true"/>
        <sz val="9"/>
        <color rgb="FF888888"/>
        <rFont val="Arial"/>
        <family val="0"/>
        <charset val="1"/>
      </rPr>
      <t xml:space="preserve">TDCC</t>
    </r>
    <r>
      <rPr>
        <i val="true"/>
        <sz val="9"/>
        <color rgb="FF888888"/>
        <rFont val="Noto Sans CJK SC"/>
        <family val="2"/>
      </rPr>
      <t xml:space="preserve">分析發現該週大戶暴增與全體股東數驟減</t>
    </r>
    <r>
      <rPr>
        <i val="true"/>
        <sz val="9"/>
        <color rgb="FF888888"/>
        <rFont val="Arial"/>
        <family val="0"/>
        <charset val="1"/>
      </rPr>
      <t xml:space="preserve">19%</t>
    </r>
    <r>
      <rPr>
        <i val="true"/>
        <sz val="9"/>
        <color rgb="FF888888"/>
        <rFont val="Noto Sans CJK SC"/>
        <family val="2"/>
      </rPr>
      <t xml:space="preserve">、集中單一最高級距同時發生，型態疑似集保技術性異動；經徵詢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，其表示另有查證管道確認為真實買盤，維持籌碼面綠燈判定</t>
    </r>
  </si>
  <si>
    <t xml:space="preserve">籌碼面燈號依據</t>
  </si>
  <si>
    <t xml:space="preserve">技術面：追高風險（兩次獨立分析方向一致）</t>
  </si>
  <si>
    <r>
      <rPr>
        <sz val="10"/>
        <color rgb="FF000000"/>
        <rFont val="Arial"/>
        <family val="0"/>
        <charset val="1"/>
      </rPr>
      <t xml:space="preserve">0701</t>
    </r>
    <r>
      <rPr>
        <sz val="10"/>
        <color rgb="FF000000"/>
        <rFont val="Noto Sans CJK SC"/>
        <family val="2"/>
      </rPr>
      <t xml:space="preserve">報告：</t>
    </r>
    <r>
      <rPr>
        <sz val="10"/>
        <color rgb="FF000000"/>
        <rFont val="Arial"/>
        <family val="0"/>
        <charset val="1"/>
      </rPr>
      <t xml:space="preserve">0630</t>
    </r>
    <r>
      <rPr>
        <sz val="10"/>
        <color rgb="FF000000"/>
        <rFont val="Noto Sans CJK SC"/>
        <family val="2"/>
      </rPr>
      <t xml:space="preserve">收</t>
    </r>
    <r>
      <rPr>
        <sz val="10"/>
        <color rgb="FF000000"/>
        <rFont val="Arial"/>
        <family val="0"/>
        <charset val="1"/>
      </rPr>
      <t xml:space="preserve">370.5</t>
    </r>
    <r>
      <rPr>
        <sz val="10"/>
        <color rgb="FF000000"/>
        <rFont val="Noto Sans CJK SC"/>
        <family val="2"/>
      </rPr>
      <t xml:space="preserve">元創</t>
    </r>
    <r>
      <rPr>
        <sz val="10"/>
        <color rgb="FF000000"/>
        <rFont val="Arial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週新高但距</t>
    </r>
    <r>
      <rPr>
        <sz val="10"/>
        <color rgb="FF000000"/>
        <rFont val="Arial"/>
        <family val="0"/>
        <charset val="1"/>
      </rPr>
      <t xml:space="preserve">MA20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；本次</t>
    </r>
    <r>
      <rPr>
        <sz val="10"/>
        <color rgb="FF000000"/>
        <rFont val="Arial"/>
        <family val="0"/>
        <charset val="1"/>
      </rPr>
      <t xml:space="preserve">0710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0709</t>
    </r>
    <r>
      <rPr>
        <sz val="10"/>
        <color rgb="FF000000"/>
        <rFont val="Noto Sans CJK SC"/>
        <family val="2"/>
      </rPr>
      <t xml:space="preserve">收</t>
    </r>
    <r>
      <rPr>
        <sz val="10"/>
        <color rgb="FF000000"/>
        <rFont val="Arial"/>
        <family val="0"/>
        <charset val="1"/>
      </rPr>
      <t xml:space="preserve">385</t>
    </r>
    <r>
      <rPr>
        <sz val="10"/>
        <color rgb="FF000000"/>
        <rFont val="Noto Sans CJK SC"/>
        <family val="2"/>
      </rPr>
      <t xml:space="preserve">元，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個月</t>
    </r>
    <r>
      <rPr>
        <sz val="10"/>
        <color rgb="FF000000"/>
        <rFont val="Arial"/>
        <family val="0"/>
        <charset val="1"/>
      </rPr>
      <t xml:space="preserve">+316%</t>
    </r>
    <r>
      <rPr>
        <sz val="10"/>
        <color rgb="FF000000"/>
        <rFont val="Noto Sans CJK SC"/>
        <family val="2"/>
      </rPr>
      <t xml:space="preserve">，週</t>
    </r>
    <r>
      <rPr>
        <sz val="10"/>
        <color rgb="FF000000"/>
        <rFont val="Arial"/>
        <family val="0"/>
        <charset val="1"/>
      </rPr>
      <t xml:space="preserve">RSI 81</t>
    </r>
    <r>
      <rPr>
        <sz val="10"/>
        <color rgb="FF000000"/>
        <rFont val="Noto Sans CJK SC"/>
        <family val="2"/>
      </rPr>
      <t xml:space="preserve">接近超買</t>
    </r>
  </si>
  <si>
    <r>
      <rPr>
        <i val="true"/>
        <sz val="9"/>
        <color rgb="FF888888"/>
        <rFont val="Noto Sans CJK SC"/>
        <family val="2"/>
      </rPr>
      <t xml:space="preserve">兩次獨立技術分析均建議不追高，等拉回至支撐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週</t>
    </r>
    <r>
      <rPr>
        <i val="true"/>
        <sz val="9"/>
        <color rgb="FF888888"/>
        <rFont val="Arial"/>
        <family val="0"/>
        <charset val="1"/>
      </rPr>
      <t xml:space="preserve">MA10/Fib38.2%</t>
    </r>
    <r>
      <rPr>
        <i val="true"/>
        <sz val="9"/>
        <color rgb="FF888888"/>
        <rFont val="Noto Sans CJK SC"/>
        <family val="2"/>
      </rPr>
      <t xml:space="preserve">附近，約</t>
    </r>
    <r>
      <rPr>
        <i val="true"/>
        <sz val="9"/>
        <color rgb="FF888888"/>
        <rFont val="Arial"/>
        <family val="0"/>
        <charset val="1"/>
      </rPr>
      <t xml:space="preserve">298-301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再進場，與估值面「現價已反映相當樂觀假設」的結論方向一致</t>
    </r>
  </si>
  <si>
    <t xml:space="preserve">進場時機參考</t>
  </si>
  <si>
    <r>
      <rPr>
        <b val="true"/>
        <sz val="14"/>
        <color rgb="FF1A2540"/>
        <rFont val="Noto Sans CJK SC"/>
        <family val="2"/>
      </rPr>
      <t xml:space="preserve">估值輸入區 — 聯茂（</t>
    </r>
    <r>
      <rPr>
        <b val="true"/>
        <sz val="14"/>
        <color rgb="FF1A2540"/>
        <rFont val="Arial"/>
        <family val="0"/>
        <charset val="1"/>
      </rPr>
      <t xml:space="preserve">6213</t>
    </r>
    <r>
      <rPr>
        <b val="true"/>
        <sz val="14"/>
        <color rgb="FF1A254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</si>
  <si>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報告日期 </t>
    </r>
    <r>
      <rPr>
        <i val="true"/>
        <sz val="9"/>
        <color rgb="FF888888"/>
        <rFont val="Arial"/>
        <family val="0"/>
        <charset val="1"/>
      </rPr>
      <t xml:space="preserve">20260710</t>
    </r>
    <r>
      <rPr>
        <i val="true"/>
        <sz val="9"/>
        <color rgb="FF888888"/>
        <rFont val="Noto Sans CJK SC"/>
        <family val="2"/>
      </rPr>
      <t xml:space="preserve">｜藍字黃底＝可自行改動，改動後全表即時重算</t>
    </r>
  </si>
  <si>
    <t xml:space="preserve">① 基本資料</t>
  </si>
  <si>
    <t xml:space="preserve">現價（元）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</si>
  <si>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 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</t>
    </r>
    <r>
      <rPr>
        <i val="true"/>
        <sz val="9"/>
        <color rgb="FF888888"/>
        <rFont val="Arial"/>
        <family val="0"/>
        <charset val="1"/>
      </rPr>
      <t xml:space="preserve">385.0</t>
    </r>
    <r>
      <rPr>
        <i val="true"/>
        <sz val="9"/>
        <color rgb="FF888888"/>
        <rFont val="Noto Sans CJK SC"/>
        <family val="2"/>
      </rPr>
      <t xml:space="preserve">元 </t>
    </r>
    <r>
      <rPr>
        <i val="true"/>
        <sz val="9"/>
        <color rgb="FF888888"/>
        <rFont val="Arial"/>
        <family val="0"/>
        <charset val="1"/>
      </rPr>
      <t xml:space="preserve">-2.16%</t>
    </r>
    <r>
      <rPr>
        <i val="true"/>
        <sz val="9"/>
        <color rgb="FF888888"/>
        <rFont val="Noto Sans CJK SC"/>
        <family val="2"/>
      </rPr>
      <t xml:space="preserve">，本益比</t>
    </r>
    <r>
      <rPr>
        <i val="true"/>
        <sz val="9"/>
        <color rgb="FF888888"/>
        <rFont val="Arial"/>
        <family val="0"/>
        <charset val="1"/>
      </rPr>
      <t xml:space="preserve">94.13x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80.03x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</t>
    </r>
  </si>
  <si>
    <t xml:space="preserve">在外流通股數（億股）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</si>
  <si>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TWSE</t>
    </r>
    <r>
      <rPr>
        <i val="true"/>
        <sz val="9"/>
        <color rgb="FF888888"/>
        <rFont val="Noto Sans CJK SC"/>
        <family val="2"/>
      </rPr>
      <t xml:space="preserve">股利公告反推：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年度現金股利發放總額</t>
    </r>
    <r>
      <rPr>
        <i val="true"/>
        <sz val="9"/>
        <color rgb="FF888888"/>
        <rFont val="Arial"/>
        <family val="0"/>
        <charset val="1"/>
      </rPr>
      <t xml:space="preserve">NT$1,090,401,654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÷</t>
    </r>
    <r>
      <rPr>
        <i val="true"/>
        <sz val="9"/>
        <color rgb="FF888888"/>
        <rFont val="Noto Sans CJK SC"/>
        <family val="2"/>
      </rPr>
      <t xml:space="preserve">每股現金股利</t>
    </r>
    <r>
      <rPr>
        <i val="true"/>
        <sz val="9"/>
        <color rgb="FF888888"/>
        <rFont val="Arial"/>
        <family val="0"/>
        <charset val="1"/>
      </rPr>
      <t xml:space="preserve">3.00</t>
    </r>
    <r>
      <rPr>
        <i val="true"/>
        <sz val="9"/>
        <color rgb="FF888888"/>
        <rFont val="Noto Sans CJK SC"/>
        <family val="2"/>
      </rPr>
      <t xml:space="preserve">元＝</t>
    </r>
    <r>
      <rPr>
        <i val="true"/>
        <sz val="9"/>
        <color rgb="FF888888"/>
        <rFont val="Arial"/>
        <family val="0"/>
        <charset val="1"/>
      </rPr>
      <t xml:space="preserve">363,467,218</t>
    </r>
    <r>
      <rPr>
        <i val="true"/>
        <sz val="9"/>
        <color rgb="FF888888"/>
        <rFont val="Noto Sans CJK SC"/>
        <family val="2"/>
      </rPr>
      <t xml:space="preserve">股（沿用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確認值）</t>
    </r>
  </si>
  <si>
    <t xml:space="preserve">基期年度</t>
  </si>
  <si>
    <t xml:space="preserve">2025</t>
  </si>
  <si>
    <r>
      <rPr>
        <sz val="10"/>
        <color rgb="FF000000"/>
        <rFont val="Noto Sans CJK SC"/>
        <family val="2"/>
      </rPr>
      <t xml:space="preserve">基期 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（元）</t>
    </r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</si>
  <si>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TWSE</t>
    </r>
    <r>
      <rPr>
        <i val="true"/>
        <sz val="9"/>
        <color rgb="FF888888"/>
        <rFont val="Noto Sans CJK SC"/>
        <family val="2"/>
      </rPr>
      <t xml:space="preserve">重大訊息公告</t>
    </r>
    <r>
      <rPr>
        <i val="true"/>
        <sz val="9"/>
        <color rgb="FF888888"/>
        <rFont val="Arial"/>
        <family val="0"/>
        <charset val="1"/>
      </rPr>
      <t xml:space="preserve">2026/04/10</t>
    </r>
    <r>
      <rPr>
        <i val="true"/>
        <sz val="9"/>
        <color rgb="FF888888"/>
        <rFont val="Noto Sans CJK SC"/>
        <family val="2"/>
      </rPr>
      <t xml:space="preserve">：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年度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自結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稅前淨利</t>
    </r>
    <r>
      <rPr>
        <i val="true"/>
        <sz val="9"/>
        <color rgb="FF888888"/>
        <rFont val="Arial"/>
        <family val="0"/>
        <charset val="1"/>
      </rPr>
      <t xml:space="preserve">23.67</t>
    </r>
    <r>
      <rPr>
        <i val="true"/>
        <sz val="9"/>
        <color rgb="FF888888"/>
        <rFont val="Noto Sans CJK SC"/>
        <family val="2"/>
      </rPr>
      <t xml:space="preserve">億、本期淨利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母公司</t>
    </r>
    <r>
      <rPr>
        <i val="true"/>
        <sz val="9"/>
        <color rgb="FF888888"/>
        <rFont val="Arial"/>
        <family val="0"/>
        <charset val="1"/>
      </rPr>
      <t xml:space="preserve">)15.10</t>
    </r>
    <r>
      <rPr>
        <i val="true"/>
        <sz val="9"/>
        <color rgb="FF888888"/>
        <rFont val="Noto Sans CJK SC"/>
        <family val="2"/>
      </rPr>
      <t xml:space="preserve">億、每股盈餘</t>
    </r>
    <r>
      <rPr>
        <i val="true"/>
        <sz val="9"/>
        <color rgb="FF888888"/>
        <rFont val="Arial"/>
        <family val="0"/>
        <charset val="1"/>
      </rPr>
      <t xml:space="preserve">4.16</t>
    </r>
    <r>
      <rPr>
        <i val="true"/>
        <sz val="9"/>
        <color rgb="FF888888"/>
        <rFont val="Noto Sans CJK SC"/>
        <family val="2"/>
      </rPr>
      <t xml:space="preserve">元（沿用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確認值）</t>
    </r>
  </si>
  <si>
    <t xml:space="preserve">② 營收假設（億元）</t>
  </si>
  <si>
    <t xml:space="preserve">產品線</t>
  </si>
  <si>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基期營收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</si>
  <si>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成長率</t>
    </r>
  </si>
  <si>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成長率</t>
    </r>
  </si>
  <si>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成長率</t>
    </r>
  </si>
  <si>
    <t xml:space="preserve">來源備註</t>
  </si>
  <si>
    <r>
      <rPr>
        <sz val="10"/>
        <color rgb="FF000000"/>
        <rFont val="Noto Sans CJK SC"/>
        <family val="2"/>
      </rPr>
      <t xml:space="preserve">傳統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中低階</t>
    </r>
    <r>
      <rPr>
        <sz val="10"/>
        <color rgb="FF000000"/>
        <rFont val="Arial"/>
        <family val="0"/>
        <charset val="1"/>
      </rPr>
      <t xml:space="preserve">CCL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FR4~M4</t>
    </r>
    <r>
      <rPr>
        <sz val="10"/>
        <color rgb="FF000000"/>
        <rFont val="Noto Sans CJK SC"/>
        <family val="2"/>
      </rPr>
      <t xml:space="preserve">為主）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</si>
  <si>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確認值：優分析法人估計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</t>
    </r>
    <r>
      <rPr>
        <i val="true"/>
        <sz val="9"/>
        <color rgb="FF888888"/>
        <rFont val="Arial"/>
        <family val="0"/>
        <charset val="1"/>
      </rPr>
      <t xml:space="preserve">M6/M7/M8</t>
    </r>
    <r>
      <rPr>
        <i val="true"/>
        <sz val="9"/>
        <color rgb="FF888888"/>
        <rFont val="Noto Sans CJK SC"/>
        <family val="2"/>
      </rPr>
      <t xml:space="preserve">以外占比約</t>
    </r>
    <r>
      <rPr>
        <i val="true"/>
        <sz val="9"/>
        <color rgb="FF888888"/>
        <rFont val="Arial"/>
        <family val="0"/>
        <charset val="1"/>
      </rPr>
      <t xml:space="preserve">71.5%</t>
    </r>
    <r>
      <rPr>
        <i val="true"/>
        <sz val="9"/>
        <color rgb="FF888888"/>
        <rFont val="Noto Sans CJK SC"/>
        <family val="2"/>
      </rPr>
      <t xml:space="preserve">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總營收</t>
    </r>
    <r>
      <rPr>
        <i val="true"/>
        <sz val="9"/>
        <color rgb="FF888888"/>
        <rFont val="Arial"/>
        <family val="0"/>
        <charset val="1"/>
      </rPr>
      <t xml:space="preserve">330.98</t>
    </r>
    <r>
      <rPr>
        <i val="true"/>
        <sz val="9"/>
        <color rgb="FF888888"/>
        <rFont val="Noto Sans CJK SC"/>
        <family val="2"/>
      </rPr>
      <t xml:space="preserve">億反推），法說會：每季</t>
    </r>
    <r>
      <rPr>
        <i val="true"/>
        <sz val="9"/>
        <color rgb="FF888888"/>
        <rFont val="Arial"/>
        <family val="0"/>
        <charset val="1"/>
      </rPr>
      <t xml:space="preserve">ASP</t>
    </r>
    <r>
      <rPr>
        <i val="true"/>
        <sz val="9"/>
        <color rgb="FF888888"/>
        <rFont val="Noto Sans CJK SC"/>
        <family val="2"/>
      </rPr>
      <t xml:space="preserve">調漲</t>
    </r>
    <r>
      <rPr>
        <i val="true"/>
        <sz val="9"/>
        <color rgb="FF888888"/>
        <rFont val="Arial"/>
        <family val="0"/>
        <charset val="1"/>
      </rPr>
      <t xml:space="preserve">10-15%</t>
    </r>
    <r>
      <rPr>
        <i val="true"/>
        <sz val="9"/>
        <color rgb="FF888888"/>
        <rFont val="Noto Sans CJK SC"/>
        <family val="2"/>
      </rPr>
      <t xml:space="preserve">驅動溫和成長</t>
    </r>
  </si>
  <si>
    <r>
      <rPr>
        <sz val="10"/>
        <color rgb="FF000000"/>
        <rFont val="Arial"/>
        <family val="0"/>
        <charset val="1"/>
      </rPr>
      <t xml:space="preserve">M6</t>
    </r>
    <r>
      <rPr>
        <sz val="10"/>
        <color rgb="FF000000"/>
        <rFont val="Noto Sans CJK SC"/>
        <family val="2"/>
      </rPr>
      <t xml:space="preserve">（通用伺服器主流材料）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</si>
  <si>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確認值：優分析法人估計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</t>
    </r>
    <r>
      <rPr>
        <i val="true"/>
        <sz val="9"/>
        <color rgb="FF888888"/>
        <rFont val="Arial"/>
        <family val="0"/>
        <charset val="1"/>
      </rPr>
      <t xml:space="preserve">M6</t>
    </r>
    <r>
      <rPr>
        <i val="true"/>
        <sz val="9"/>
        <color rgb="FF888888"/>
        <rFont val="Noto Sans CJK SC"/>
        <family val="2"/>
      </rPr>
      <t xml:space="preserve">占比</t>
    </r>
    <r>
      <rPr>
        <i val="true"/>
        <sz val="9"/>
        <color rgb="FF888888"/>
        <rFont val="Arial"/>
        <family val="0"/>
        <charset val="1"/>
      </rPr>
      <t xml:space="preserve">20-25%</t>
    </r>
    <r>
      <rPr>
        <i val="true"/>
        <sz val="9"/>
        <color rgb="FF888888"/>
        <rFont val="Noto Sans CJK SC"/>
        <family val="2"/>
      </rPr>
      <t xml:space="preserve">取</t>
    </r>
    <r>
      <rPr>
        <i val="true"/>
        <sz val="9"/>
        <color rgb="FF888888"/>
        <rFont val="Arial"/>
        <family val="0"/>
        <charset val="1"/>
      </rPr>
      <t xml:space="preserve">22%</t>
    </r>
    <r>
      <rPr>
        <i val="true"/>
        <sz val="9"/>
        <color rgb="FF888888"/>
        <rFont val="Noto Sans CJK SC"/>
        <family val="2"/>
      </rPr>
      <t xml:space="preserve">；受惠</t>
    </r>
    <r>
      <rPr>
        <i val="true"/>
        <sz val="9"/>
        <color rgb="FF888888"/>
        <rFont val="Arial"/>
        <family val="0"/>
        <charset val="1"/>
      </rPr>
      <t xml:space="preserve">PCIe6</t>
    </r>
    <r>
      <rPr>
        <i val="true"/>
        <sz val="9"/>
        <color rgb="FF888888"/>
        <rFont val="Noto Sans CJK SC"/>
        <family val="2"/>
      </rPr>
      <t xml:space="preserve">平台放量</t>
    </r>
    <r>
      <rPr>
        <i val="true"/>
        <sz val="9"/>
        <color rgb="FF888888"/>
        <rFont val="Arial"/>
        <family val="0"/>
        <charset val="1"/>
      </rPr>
      <t xml:space="preserve">(AMD</t>
    </r>
    <r>
      <rPr>
        <i val="true"/>
        <sz val="9"/>
        <color rgb="FF888888"/>
        <rFont val="Noto Sans CJK SC"/>
        <family val="2"/>
      </rPr>
      <t xml:space="preserve">先行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＋泰國廠擴產；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法說會證實</t>
    </r>
    <r>
      <rPr>
        <i val="true"/>
        <sz val="9"/>
        <color rgb="FF888888"/>
        <rFont val="Arial"/>
        <family val="0"/>
        <charset val="1"/>
      </rPr>
      <t xml:space="preserve">7-8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PCIe6</t>
    </r>
    <r>
      <rPr>
        <i val="true"/>
        <sz val="9"/>
        <color rgb="FF888888"/>
        <rFont val="Noto Sans CJK SC"/>
        <family val="2"/>
      </rPr>
      <t xml:space="preserve">放量、</t>
    </r>
    <r>
      <rPr>
        <i val="true"/>
        <sz val="9"/>
        <color rgb="FF888888"/>
        <rFont val="Arial"/>
        <family val="0"/>
        <charset val="1"/>
      </rPr>
      <t xml:space="preserve">AMD</t>
    </r>
    <r>
      <rPr>
        <i val="true"/>
        <sz val="9"/>
        <color rgb="FF888888"/>
        <rFont val="Noto Sans CJK SC"/>
        <family val="2"/>
      </rPr>
      <t xml:space="preserve">陣營先受惠</t>
    </r>
  </si>
  <si>
    <r>
      <rPr>
        <sz val="10"/>
        <color rgb="FF000000"/>
        <rFont val="Arial"/>
        <family val="0"/>
        <charset val="1"/>
      </rPr>
      <t xml:space="preserve">M7</t>
    </r>
    <r>
      <rPr>
        <sz val="10"/>
        <color rgb="FF000000"/>
        <rFont val="Noto Sans CJK SC"/>
        <family val="2"/>
      </rPr>
      <t xml:space="preserve">以上（</t>
    </r>
    <r>
      <rPr>
        <sz val="10"/>
        <color rgb="FF000000"/>
        <rFont val="Arial"/>
        <family val="0"/>
        <charset val="1"/>
      </rPr>
      <t xml:space="preserve">M7/M8/M9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低軌衛星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交換機）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</si>
  <si>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確認值，並經</t>
    </r>
    <r>
      <rPr>
        <i val="true"/>
        <sz val="9"/>
        <color rgb="FF888888"/>
        <rFont val="Arial"/>
        <family val="0"/>
        <charset val="1"/>
      </rPr>
      <t xml:space="preserve">0710</t>
    </r>
    <r>
      <rPr>
        <i val="true"/>
        <sz val="9"/>
        <color rgb="FF888888"/>
        <rFont val="Noto Sans CJK SC"/>
        <family val="2"/>
      </rPr>
      <t xml:space="preserve">新增之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叫貨通路查核佐證：宜蘭出貨量</t>
    </r>
    <r>
      <rPr>
        <i val="true"/>
        <sz val="9"/>
        <color rgb="FF888888"/>
        <rFont val="Arial"/>
        <family val="0"/>
        <charset val="1"/>
      </rPr>
      <t xml:space="preserve">4-5</t>
    </r>
    <r>
      <rPr>
        <i val="true"/>
        <sz val="9"/>
        <color rgb="FF888888"/>
        <rFont val="Noto Sans CJK SC"/>
        <family val="2"/>
      </rPr>
      <t xml:space="preserve">月每月</t>
    </r>
    <r>
      <rPr>
        <i val="true"/>
        <sz val="9"/>
        <color rgb="FF888888"/>
        <rFont val="Arial"/>
        <family val="0"/>
        <charset val="1"/>
      </rPr>
      <t xml:space="preserve">10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6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16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7-8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32</t>
    </r>
    <r>
      <rPr>
        <i val="true"/>
        <sz val="9"/>
        <color rgb="FF888888"/>
        <rFont val="Noto Sans CJK SC"/>
        <family val="2"/>
      </rPr>
      <t xml:space="preserve">噸→</t>
    </r>
    <r>
      <rPr>
        <i val="true"/>
        <sz val="9"/>
        <color rgb="FF888888"/>
        <rFont val="Arial"/>
        <family val="0"/>
        <charset val="1"/>
      </rPr>
      <t xml:space="preserve">9</t>
    </r>
    <r>
      <rPr>
        <i val="true"/>
        <sz val="9"/>
        <color rgb="FF888888"/>
        <rFont val="Noto Sans CJK SC"/>
        <family val="2"/>
      </rPr>
      <t xml:space="preserve">月預告</t>
    </r>
    <r>
      <rPr>
        <i val="true"/>
        <sz val="9"/>
        <color rgb="FF888888"/>
        <rFont val="Arial"/>
        <family val="0"/>
        <charset val="1"/>
      </rPr>
      <t xml:space="preserve">40</t>
    </r>
    <r>
      <rPr>
        <i val="true"/>
        <sz val="9"/>
        <color rgb="FF888888"/>
        <rFont val="Noto Sans CJK SC"/>
        <family val="2"/>
      </rPr>
      <t xml:space="preserve">噸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交聯茂實際量</t>
    </r>
    <r>
      <rPr>
        <i val="true"/>
        <sz val="9"/>
        <color rgb="FF888888"/>
        <rFont val="Arial"/>
        <family val="0"/>
        <charset val="1"/>
      </rPr>
      <t xml:space="preserve">×2</t>
    </r>
    <r>
      <rPr>
        <i val="true"/>
        <sz val="9"/>
        <color rgb="FF888888"/>
        <rFont val="Noto Sans CJK SC"/>
        <family val="2"/>
      </rPr>
      <t xml:space="preserve">＝</t>
    </r>
    <r>
      <rPr>
        <i val="true"/>
        <sz val="9"/>
        <color rgb="FF888888"/>
        <rFont val="Arial"/>
        <family val="0"/>
        <charset val="1"/>
      </rPr>
      <t xml:space="preserve">20→32→64→80</t>
    </r>
    <r>
      <rPr>
        <i val="true"/>
        <sz val="9"/>
        <color rgb="FF888888"/>
        <rFont val="Noto Sans CJK SC"/>
        <family val="2"/>
      </rPr>
      <t xml:space="preserve">噸，</t>
    </r>
    <r>
      <rPr>
        <i val="true"/>
        <sz val="9"/>
        <color rgb="FF888888"/>
        <rFont val="Arial"/>
        <family val="0"/>
        <charset val="1"/>
      </rPr>
      <t xml:space="preserve">5</t>
    </r>
    <r>
      <rPr>
        <i val="true"/>
        <sz val="9"/>
        <color rgb="FF888888"/>
        <rFont val="Noto Sans CJK SC"/>
        <family val="2"/>
      </rPr>
      <t xml:space="preserve">個月翻</t>
    </r>
    <r>
      <rPr>
        <i val="true"/>
        <sz val="9"/>
        <color rgb="FF888888"/>
        <rFont val="Arial"/>
        <family val="0"/>
        <charset val="1"/>
      </rPr>
      <t xml:space="preserve">4</t>
    </r>
    <r>
      <rPr>
        <i val="true"/>
        <sz val="9"/>
        <color rgb="FF888888"/>
        <rFont val="Noto Sans CJK SC"/>
        <family val="2"/>
      </rPr>
      <t xml:space="preserve">倍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9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80</t>
    </r>
    <r>
      <rPr>
        <i val="true"/>
        <sz val="9"/>
        <color rgb="FF888888"/>
        <rFont val="Noto Sans CJK SC"/>
        <family val="2"/>
      </rPr>
      <t xml:space="preserve">噸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對應</t>
    </r>
    <r>
      <rPr>
        <i val="true"/>
        <sz val="9"/>
        <color rgb="FF888888"/>
        <rFont val="Arial"/>
        <family val="0"/>
        <charset val="1"/>
      </rPr>
      <t xml:space="preserve">10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出貨約</t>
    </r>
    <r>
      <rPr>
        <i val="true"/>
        <sz val="9"/>
        <color rgb="FF888888"/>
        <rFont val="Arial"/>
        <family val="0"/>
        <charset val="1"/>
      </rPr>
      <t xml:space="preserve">68-91</t>
    </r>
    <r>
      <rPr>
        <i val="true"/>
        <sz val="9"/>
        <color rgb="FF888888"/>
        <rFont val="Noto Sans CJK SC"/>
        <family val="2"/>
      </rPr>
      <t xml:space="preserve">萬張、占聯茂月產能</t>
    </r>
    <r>
      <rPr>
        <i val="true"/>
        <sz val="9"/>
        <color rgb="FF888888"/>
        <rFont val="Arial"/>
        <family val="0"/>
        <charset val="1"/>
      </rPr>
      <t xml:space="preserve">570</t>
    </r>
    <r>
      <rPr>
        <i val="true"/>
        <sz val="9"/>
        <color rgb="FF888888"/>
        <rFont val="Noto Sans CJK SC"/>
        <family val="2"/>
      </rPr>
      <t xml:space="preserve">萬張的</t>
    </r>
    <r>
      <rPr>
        <i val="true"/>
        <sz val="9"/>
        <color rgb="FF888888"/>
        <rFont val="Arial"/>
        <family val="0"/>
        <charset val="1"/>
      </rPr>
      <t xml:space="preserve">15.9-22.8%</t>
    </r>
    <r>
      <rPr>
        <i val="true"/>
        <sz val="9"/>
        <color rgb="FF888888"/>
        <rFont val="Noto Sans CJK SC"/>
        <family val="2"/>
      </rPr>
      <t xml:space="preserve">；成長率</t>
    </r>
    <r>
      <rPr>
        <i val="true"/>
        <sz val="9"/>
        <color rgb="FF888888"/>
        <rFont val="Arial"/>
        <family val="0"/>
        <charset val="1"/>
      </rPr>
      <t xml:space="preserve">333.2%</t>
    </r>
    <r>
      <rPr>
        <i val="true"/>
        <sz val="9"/>
        <color rgb="FF888888"/>
        <rFont val="Noto Sans CJK SC"/>
        <family val="2"/>
      </rPr>
      <t xml:space="preserve">內含</t>
    </r>
    <r>
      <rPr>
        <i val="true"/>
        <sz val="9"/>
        <color rgb="FF888888"/>
        <rFont val="Arial"/>
        <family val="0"/>
        <charset val="1"/>
      </rPr>
      <t xml:space="preserve">M7 ASP</t>
    </r>
    <r>
      <rPr>
        <i val="true"/>
        <sz val="9"/>
        <color rgb="FF888888"/>
        <rFont val="Noto Sans CJK SC"/>
        <family val="2"/>
      </rPr>
      <t xml:space="preserve">較</t>
    </r>
    <r>
      <rPr>
        <i val="true"/>
        <sz val="9"/>
        <color rgb="FF888888"/>
        <rFont val="Arial"/>
        <family val="0"/>
        <charset val="1"/>
      </rPr>
      <t xml:space="preserve">M6</t>
    </r>
    <r>
      <rPr>
        <i val="true"/>
        <sz val="9"/>
        <color rgb="FF888888"/>
        <rFont val="Noto Sans CJK SC"/>
        <family val="2"/>
      </rPr>
      <t xml:space="preserve">溢價</t>
    </r>
    <r>
      <rPr>
        <i val="true"/>
        <sz val="9"/>
        <color rgb="FF888888"/>
        <rFont val="Arial"/>
        <family val="0"/>
        <charset val="1"/>
      </rPr>
      <t xml:space="preserve">+30%</t>
    </r>
    <r>
      <rPr>
        <i val="true"/>
        <sz val="9"/>
        <color rgb="FF888888"/>
        <rFont val="Noto Sans CJK SC"/>
        <family val="2"/>
      </rPr>
      <t xml:space="preserve">假設</t>
    </r>
    <r>
      <rPr>
        <i val="true"/>
        <sz val="9"/>
        <color rgb="FF888888"/>
        <rFont val="Arial"/>
        <family val="0"/>
        <charset val="1"/>
      </rPr>
      <t xml:space="preserve">(⚠️</t>
    </r>
    <r>
      <rPr>
        <i val="true"/>
        <sz val="9"/>
        <color rgb="FF888888"/>
        <rFont val="Noto Sans CJK SC"/>
        <family val="2"/>
      </rPr>
      <t xml:space="preserve">非公司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建滔會議明文，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筆記與紅隊均標記為模型最脆弱環節，見</t>
    </r>
    <r>
      <rPr>
        <i val="true"/>
        <sz val="9"/>
        <color rgb="FF888888"/>
        <rFont val="Arial"/>
        <family val="0"/>
        <charset val="1"/>
      </rPr>
      <t xml:space="preserve">0_</t>
    </r>
    <r>
      <rPr>
        <i val="true"/>
        <sz val="9"/>
        <color rgb="FF888888"/>
        <rFont val="Noto Sans CJK SC"/>
        <family val="2"/>
      </rPr>
      <t xml:space="preserve">變量總覽風險列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。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</t>
    </r>
    <r>
      <rPr>
        <i val="true"/>
        <sz val="9"/>
        <color rgb="FF888888"/>
        <rFont val="Arial"/>
        <family val="0"/>
        <charset val="1"/>
      </rPr>
      <t xml:space="preserve">Q2 guidance</t>
    </r>
    <r>
      <rPr>
        <i val="true"/>
        <sz val="9"/>
        <color rgb="FF888888"/>
        <rFont val="Noto Sans CJK SC"/>
        <family val="2"/>
      </rPr>
      <t xml:space="preserve">即時上修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營收</t>
    </r>
    <r>
      <rPr>
        <i val="true"/>
        <sz val="9"/>
        <color rgb="FF888888"/>
        <rFont val="Arial"/>
        <family val="0"/>
        <charset val="1"/>
      </rPr>
      <t xml:space="preserve">QoQ 20%→25%</t>
    </r>
    <r>
      <rPr>
        <i val="true"/>
        <sz val="9"/>
        <color rgb="FF888888"/>
        <rFont val="Noto Sans CJK SC"/>
        <family val="2"/>
      </rPr>
      <t xml:space="preserve">、毛利率</t>
    </r>
    <r>
      <rPr>
        <i val="true"/>
        <sz val="9"/>
        <color rgb="FF888888"/>
        <rFont val="Arial"/>
        <family val="0"/>
        <charset val="1"/>
      </rPr>
      <t xml:space="preserve">14-16%→~20%)</t>
    </r>
    <r>
      <rPr>
        <i val="true"/>
        <sz val="9"/>
        <color rgb="FF888888"/>
        <rFont val="Noto Sans CJK SC"/>
        <family val="2"/>
      </rPr>
      <t xml:space="preserve">為佐證之一</t>
    </r>
  </si>
  <si>
    <t xml:space="preserve">③ 利潤率假設</t>
  </si>
  <si>
    <t xml:space="preserve">項目</t>
  </si>
  <si>
    <t xml:space="preserve">2026</t>
  </si>
  <si>
    <t xml:space="preserve">2027</t>
  </si>
  <si>
    <t xml:space="preserve">2028</t>
  </si>
  <si>
    <t xml:space="preserve">毛利率</t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</si>
  <si>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確認值：投資幕僚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修正版三年模型比較表</t>
    </r>
    <r>
      <rPr>
        <i val="true"/>
        <sz val="9"/>
        <color rgb="FF888888"/>
        <rFont val="Arial"/>
        <family val="0"/>
        <charset val="1"/>
      </rPr>
      <t xml:space="preserve">(GM 20.5%/25.5%/27.0%</t>
    </r>
    <r>
      <rPr>
        <i val="true"/>
        <sz val="9"/>
        <color rgb="FF888888"/>
        <rFont val="Noto Sans CJK SC"/>
        <family val="2"/>
      </rPr>
      <t xml:space="preserve">，本表校準為</t>
    </r>
    <r>
      <rPr>
        <i val="true"/>
        <sz val="9"/>
        <color rgb="FF888888"/>
        <rFont val="Arial"/>
        <family val="0"/>
        <charset val="1"/>
      </rPr>
      <t xml:space="preserve">23%/27%/30%)</t>
    </r>
    <r>
      <rPr>
        <i val="true"/>
        <sz val="9"/>
        <color rgb="FF888888"/>
        <rFont val="Noto Sans CJK SC"/>
        <family val="2"/>
      </rPr>
      <t xml:space="preserve">，對應法說會：</t>
    </r>
    <r>
      <rPr>
        <i val="true"/>
        <sz val="9"/>
        <color rgb="FF888888"/>
        <rFont val="Arial"/>
        <family val="0"/>
        <charset val="1"/>
      </rPr>
      <t xml:space="preserve">Q1 11.4%→Q2</t>
    </r>
    <r>
      <rPr>
        <i val="true"/>
        <sz val="9"/>
        <color rgb="FF888888"/>
        <rFont val="Noto Sans CJK SC"/>
        <family val="2"/>
      </rPr>
      <t xml:space="preserve">迎頭上修至</t>
    </r>
    <r>
      <rPr>
        <i val="true"/>
        <sz val="9"/>
        <color rgb="FF888888"/>
        <rFont val="Arial"/>
        <family val="0"/>
        <charset val="1"/>
      </rPr>
      <t xml:space="preserve">~20%(07/02</t>
    </r>
    <r>
      <rPr>
        <i val="true"/>
        <sz val="9"/>
        <color rgb="FF888888"/>
        <rFont val="Noto Sans CJK SC"/>
        <family val="2"/>
      </rPr>
      <t xml:space="preserve">法說會即時</t>
    </r>
    <r>
      <rPr>
        <i val="true"/>
        <sz val="9"/>
        <color rgb="FF888888"/>
        <rFont val="Arial"/>
        <family val="0"/>
        <charset val="1"/>
      </rPr>
      <t xml:space="preserve">guidance)</t>
    </r>
    <r>
      <rPr>
        <i val="true"/>
        <sz val="9"/>
        <color rgb="FF888888"/>
        <rFont val="Noto Sans CJK SC"/>
        <family val="2"/>
      </rPr>
      <t xml:space="preserve">，長線玻纖布緩解後上看</t>
    </r>
    <r>
      <rPr>
        <i val="true"/>
        <sz val="9"/>
        <color rgb="FF888888"/>
        <rFont val="Arial"/>
        <family val="0"/>
        <charset val="1"/>
      </rPr>
      <t xml:space="preserve">30%(</t>
    </r>
    <r>
      <rPr>
        <i val="true"/>
        <sz val="9"/>
        <color rgb="FF888888"/>
        <rFont val="Noto Sans CJK SC"/>
        <family val="2"/>
      </rPr>
      <t xml:space="preserve">公司口徑：</t>
    </r>
    <r>
      <rPr>
        <i val="true"/>
        <sz val="9"/>
        <color rgb="FF888888"/>
        <rFont val="Arial"/>
        <family val="0"/>
        <charset val="1"/>
      </rPr>
      <t xml:space="preserve">6-12</t>
    </r>
    <r>
      <rPr>
        <i val="true"/>
        <sz val="9"/>
        <color rgb="FF888888"/>
        <rFont val="Noto Sans CJK SC"/>
        <family val="2"/>
      </rPr>
      <t xml:space="preserve">個月內不會完全緩解</t>
    </r>
    <r>
      <rPr>
        <i val="true"/>
        <sz val="9"/>
        <color rgb="FF888888"/>
        <rFont val="Arial"/>
        <family val="0"/>
        <charset val="1"/>
      </rPr>
      <t xml:space="preserve">)</t>
    </r>
  </si>
  <si>
    <t xml:space="preserve">營業費用率</t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</si>
  <si>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確認值：反推自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報告三年模型稅後淨利目標</t>
    </r>
    <r>
      <rPr>
        <i val="true"/>
        <sz val="9"/>
        <color rgb="FF888888"/>
        <rFont val="Arial"/>
        <family val="0"/>
        <charset val="1"/>
      </rPr>
      <t xml:space="preserve">(39/68/95</t>
    </r>
    <r>
      <rPr>
        <i val="true"/>
        <sz val="9"/>
        <color rgb="FF888888"/>
        <rFont val="Noto Sans CJK SC"/>
        <family val="2"/>
      </rPr>
      <t xml:space="preserve">億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之簡化校準值；法說會口徑全年費用率約</t>
    </r>
    <r>
      <rPr>
        <i val="true"/>
        <sz val="9"/>
        <color rgb="FF888888"/>
        <rFont val="Arial"/>
        <family val="0"/>
        <charset val="1"/>
      </rPr>
      <t xml:space="preserve">7%</t>
    </r>
    <r>
      <rPr>
        <i val="true"/>
        <sz val="9"/>
        <color rgb="FF888888"/>
        <rFont val="Noto Sans CJK SC"/>
        <family val="2"/>
      </rPr>
      <t xml:space="preserve">（</t>
    </r>
    <r>
      <rPr>
        <i val="true"/>
        <sz val="9"/>
        <color rgb="FF888888"/>
        <rFont val="Arial"/>
        <family val="0"/>
        <charset val="1"/>
      </rPr>
      <t xml:space="preserve">Q3</t>
    </r>
    <r>
      <rPr>
        <i val="true"/>
        <sz val="9"/>
        <color rgb="FF888888"/>
        <rFont val="Noto Sans CJK SC"/>
        <family val="2"/>
      </rPr>
      <t xml:space="preserve">因兩次分紅相關費用最高）</t>
    </r>
  </si>
  <si>
    <r>
      <rPr>
        <sz val="10"/>
        <color rgb="FF000000"/>
        <rFont val="Noto Sans CJK SC"/>
        <family val="2"/>
      </rPr>
      <t xml:space="preserve">業外收支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營收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</si>
  <si>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確認值：小額業外收支，近季平均估</t>
    </r>
  </si>
  <si>
    <t xml:space="preserve">有效稅率</t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</si>
  <si>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確認值：反推</t>
    </r>
    <r>
      <rPr>
        <i val="true"/>
        <sz val="9"/>
        <color rgb="FF888888"/>
        <rFont val="Arial"/>
        <family val="0"/>
        <charset val="1"/>
      </rPr>
      <t xml:space="preserve">2025</t>
    </r>
    <r>
      <rPr>
        <i val="true"/>
        <sz val="9"/>
        <color rgb="FF888888"/>
        <rFont val="Noto Sans CJK SC"/>
        <family val="2"/>
      </rPr>
      <t xml:space="preserve">年報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稅前</t>
    </r>
    <r>
      <rPr>
        <i val="true"/>
        <sz val="9"/>
        <color rgb="FF888888"/>
        <rFont val="Arial"/>
        <family val="0"/>
        <charset val="1"/>
      </rPr>
      <t xml:space="preserve">23.67</t>
    </r>
    <r>
      <rPr>
        <i val="true"/>
        <sz val="9"/>
        <color rgb="FF888888"/>
        <rFont val="Noto Sans CJK SC"/>
        <family val="2"/>
      </rPr>
      <t xml:space="preserve">億→稅後母公司</t>
    </r>
    <r>
      <rPr>
        <i val="true"/>
        <sz val="9"/>
        <color rgb="FF888888"/>
        <rFont val="Arial"/>
        <family val="0"/>
        <charset val="1"/>
      </rPr>
      <t xml:space="preserve">15.10</t>
    </r>
    <r>
      <rPr>
        <i val="true"/>
        <sz val="9"/>
        <color rgb="FF888888"/>
        <rFont val="Noto Sans CJK SC"/>
        <family val="2"/>
      </rPr>
      <t xml:space="preserve">億＝有效稅率含少數股權</t>
    </r>
    <r>
      <rPr>
        <i val="true"/>
        <sz val="9"/>
        <color rgb="FF888888"/>
        <rFont val="Arial"/>
        <family val="0"/>
        <charset val="1"/>
      </rPr>
      <t xml:space="preserve">36.2%)</t>
    </r>
    <r>
      <rPr>
        <i val="true"/>
        <sz val="9"/>
        <color rgb="FF888888"/>
        <rFont val="Noto Sans CJK SC"/>
        <family val="2"/>
      </rPr>
      <t xml:space="preserve">及</t>
    </r>
    <r>
      <rPr>
        <i val="true"/>
        <sz val="9"/>
        <color rgb="FF888888"/>
        <rFont val="Arial"/>
        <family val="0"/>
        <charset val="1"/>
      </rPr>
      <t xml:space="preserve">26Q1(</t>
    </r>
    <r>
      <rPr>
        <i val="true"/>
        <sz val="9"/>
        <color rgb="FF888888"/>
        <rFont val="Noto Sans CJK SC"/>
        <family val="2"/>
      </rPr>
      <t xml:space="preserve">稅前</t>
    </r>
    <r>
      <rPr>
        <i val="true"/>
        <sz val="9"/>
        <color rgb="FF888888"/>
        <rFont val="Arial"/>
        <family val="0"/>
        <charset val="1"/>
      </rPr>
      <t xml:space="preserve">4.83</t>
    </r>
    <r>
      <rPr>
        <i val="true"/>
        <sz val="9"/>
        <color rgb="FF888888"/>
        <rFont val="Noto Sans CJK SC"/>
        <family val="2"/>
      </rPr>
      <t xml:space="preserve">億→稅後</t>
    </r>
    <r>
      <rPr>
        <i val="true"/>
        <sz val="9"/>
        <color rgb="FF888888"/>
        <rFont val="Arial"/>
        <family val="0"/>
        <charset val="1"/>
      </rPr>
      <t xml:space="preserve">3.15</t>
    </r>
    <r>
      <rPr>
        <i val="true"/>
        <sz val="9"/>
        <color rgb="FF888888"/>
        <rFont val="Noto Sans CJK SC"/>
        <family val="2"/>
      </rPr>
      <t xml:space="preserve">億＝</t>
    </r>
    <r>
      <rPr>
        <i val="true"/>
        <sz val="9"/>
        <color rgb="FF888888"/>
        <rFont val="Arial"/>
        <family val="0"/>
        <charset val="1"/>
      </rPr>
      <t xml:space="preserve">34.8%)</t>
    </r>
    <r>
      <rPr>
        <i val="true"/>
        <sz val="9"/>
        <color rgb="FF888888"/>
        <rFont val="Noto Sans CJK SC"/>
        <family val="2"/>
      </rPr>
      <t xml:space="preserve">，取</t>
    </r>
    <r>
      <rPr>
        <i val="true"/>
        <sz val="9"/>
        <color rgb="FF888888"/>
        <rFont val="Arial"/>
        <family val="0"/>
        <charset val="1"/>
      </rPr>
      <t xml:space="preserve">35%</t>
    </r>
    <r>
      <rPr>
        <i val="true"/>
        <sz val="9"/>
        <color rgb="FF888888"/>
        <rFont val="Noto Sans CJK SC"/>
        <family val="2"/>
      </rPr>
      <t xml:space="preserve">，隨規模擴大及少數股權占比變化逐年下修至</t>
    </r>
    <r>
      <rPr>
        <i val="true"/>
        <sz val="9"/>
        <color rgb="FF888888"/>
        <rFont val="Arial"/>
        <family val="0"/>
        <charset val="1"/>
      </rPr>
      <t xml:space="preserve">25%(</t>
    </r>
    <r>
      <rPr>
        <i val="true"/>
        <sz val="9"/>
        <color rgb="FF888888"/>
        <rFont val="Noto Sans CJK SC"/>
        <family val="2"/>
      </rPr>
      <t xml:space="preserve">推估</t>
    </r>
    <r>
      <rPr>
        <i val="true"/>
        <sz val="9"/>
        <color rgb="FF888888"/>
        <rFont val="Arial"/>
        <family val="0"/>
        <charset val="1"/>
      </rPr>
      <t xml:space="preserve">)</t>
    </r>
  </si>
  <si>
    <t xml:space="preserve">④ 估值假設</t>
  </si>
  <si>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PE </t>
    </r>
    <r>
      <rPr>
        <sz val="10"/>
        <color rgb="FF000000"/>
        <rFont val="Noto Sans CJK SC"/>
        <family val="2"/>
      </rPr>
      <t xml:space="preserve">下緣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</si>
  <si>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確認值：投資幕僚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報告</t>
    </r>
    <r>
      <rPr>
        <i val="true"/>
        <sz val="9"/>
        <color rgb="FF888888"/>
        <rFont val="Arial"/>
        <family val="0"/>
        <charset val="1"/>
      </rPr>
      <t xml:space="preserve">step7</t>
    </r>
    <r>
      <rPr>
        <i val="true"/>
        <sz val="9"/>
        <color rgb="FF888888"/>
        <rFont val="Noto Sans CJK SC"/>
        <family val="2"/>
      </rPr>
      <t xml:space="preserve">估值錨點原文「</t>
    </r>
    <r>
      <rPr>
        <i val="true"/>
        <sz val="9"/>
        <color rgb="FF888888"/>
        <rFont val="Arial"/>
        <family val="0"/>
        <charset val="1"/>
      </rPr>
      <t xml:space="preserve">2027E</t>
    </r>
    <r>
      <rPr>
        <i val="true"/>
        <sz val="9"/>
        <color rgb="FF888888"/>
        <rFont val="Noto Sans CJK SC"/>
        <family val="2"/>
      </rPr>
      <t xml:space="preserve">若給</t>
    </r>
    <r>
      <rPr>
        <i val="true"/>
        <sz val="9"/>
        <color rgb="FF888888"/>
        <rFont val="Arial"/>
        <family val="0"/>
        <charset val="1"/>
      </rPr>
      <t xml:space="preserve">25x/30x</t>
    </r>
    <r>
      <rPr>
        <i val="true"/>
        <sz val="9"/>
        <color rgb="FF888888"/>
        <rFont val="Noto Sans CJK SC"/>
        <family val="2"/>
      </rPr>
      <t xml:space="preserve">」，與凱基投顧</t>
    </r>
    <r>
      <rPr>
        <i val="true"/>
        <sz val="9"/>
        <color rgb="FF888888"/>
        <rFont val="Arial"/>
        <family val="0"/>
        <charset val="1"/>
      </rPr>
      <t xml:space="preserve">30x</t>
    </r>
    <r>
      <rPr>
        <i val="true"/>
        <sz val="9"/>
        <color rgb="FF888888"/>
        <rFont val="Noto Sans CJK SC"/>
        <family val="2"/>
      </rPr>
      <t xml:space="preserve">目標價</t>
    </r>
    <r>
      <rPr>
        <i val="true"/>
        <sz val="9"/>
        <color rgb="FF888888"/>
        <rFont val="Arial"/>
        <family val="0"/>
        <charset val="1"/>
      </rPr>
      <t xml:space="preserve">442</t>
    </r>
    <r>
      <rPr>
        <i val="true"/>
        <sz val="9"/>
        <color rgb="FF888888"/>
        <rFont val="Noto Sans CJK SC"/>
        <family val="2"/>
      </rPr>
      <t xml:space="preserve">元一致</t>
    </r>
  </si>
  <si>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PE </t>
    </r>
    <r>
      <rPr>
        <sz val="10"/>
        <color rgb="FF000000"/>
        <rFont val="Noto Sans CJK SC"/>
        <family val="2"/>
      </rPr>
      <t xml:space="preserve">上緣</t>
    </r>
  </si>
  <si>
    <r>
      <rPr>
        <sz val="10"/>
        <color rgb="FF000000"/>
        <rFont val="Noto Sans CJK SC"/>
        <family val="2"/>
      </rPr>
      <t xml:space="preserve">出場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（隱含成長率檢核）</t>
    </r>
  </si>
  <si>
    <r>
      <rPr>
        <sz val="10"/>
        <color rgb="FF000000"/>
        <rFont val="Noto Sans CJK SC"/>
        <family val="2"/>
      </rPr>
      <t xml:space="preserve">評估年數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</si>
  <si>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10"/>
        <color rgb="FF000000"/>
        <rFont val="Noto Sans CJK SC"/>
        <family val="2"/>
      </rPr>
      <t xml:space="preserve">產業平均 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成長率</t>
    </r>
  </si>
  <si>
    <r>
      <rPr>
        <i val="true"/>
        <sz val="9"/>
        <color rgb="FF888888"/>
        <rFont val="Noto Sans CJK SC"/>
        <family val="2"/>
      </rPr>
      <t xml:space="preserve">來源：沿用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確認值：高速</t>
    </r>
    <r>
      <rPr>
        <i val="true"/>
        <sz val="9"/>
        <color rgb="FF888888"/>
        <rFont val="Arial"/>
        <family val="0"/>
        <charset val="1"/>
      </rPr>
      <t xml:space="preserve">CCL/AI</t>
    </r>
    <r>
      <rPr>
        <i val="true"/>
        <sz val="9"/>
        <color rgb="FF888888"/>
        <rFont val="Noto Sans CJK SC"/>
        <family val="2"/>
      </rPr>
      <t xml:space="preserve">供應鏈同業（台光電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台燿等）中期</t>
    </r>
    <r>
      <rPr>
        <i val="true"/>
        <sz val="9"/>
        <color rgb="FF888888"/>
        <rFont val="Arial"/>
        <family val="0"/>
        <charset val="1"/>
      </rPr>
      <t xml:space="preserve">EPS</t>
    </r>
    <r>
      <rPr>
        <i val="true"/>
        <sz val="9"/>
        <color rgb="FF888888"/>
        <rFont val="Noto Sans CJK SC"/>
        <family val="2"/>
      </rPr>
      <t xml:space="preserve">成長推估，取</t>
    </r>
    <r>
      <rPr>
        <i val="true"/>
        <sz val="9"/>
        <color rgb="FF888888"/>
        <rFont val="Arial"/>
        <family val="0"/>
        <charset val="1"/>
      </rPr>
      <t xml:space="preserve">20%</t>
    </r>
    <r>
      <rPr>
        <i val="true"/>
        <sz val="9"/>
        <color rgb="FF888888"/>
        <rFont val="Noto Sans CJK SC"/>
        <family val="2"/>
      </rPr>
      <t xml:space="preserve">（未逐一驗證同業財報，屬推估）</t>
    </r>
  </si>
  <si>
    <t xml:space="preserve">現況本益比基準（不含重評，對照用）</t>
  </si>
  <si>
    <r>
      <rPr>
        <i val="true"/>
        <sz val="9"/>
        <color rgb="FF888888"/>
        <rFont val="Noto Sans CJK SC"/>
        <family val="2"/>
      </rPr>
      <t xml:space="preserve">來源：</t>
    </r>
    <r>
      <rPr>
        <i val="true"/>
        <sz val="9"/>
        <color rgb="FF888888"/>
        <rFont val="Arial"/>
        <family val="0"/>
        <charset val="1"/>
      </rPr>
      <t xml:space="preserve">Yahoo</t>
    </r>
    <r>
      <rPr>
        <i val="true"/>
        <sz val="9"/>
        <color rgb="FF888888"/>
        <rFont val="Noto Sans CJK SC"/>
        <family val="2"/>
      </rPr>
      <t xml:space="preserve">股市</t>
    </r>
    <r>
      <rPr>
        <i val="true"/>
        <sz val="9"/>
        <color rgb="FF888888"/>
        <rFont val="Arial"/>
        <family val="0"/>
        <charset val="1"/>
      </rPr>
      <t xml:space="preserve">2026/07/09</t>
    </r>
    <r>
      <rPr>
        <i val="true"/>
        <sz val="9"/>
        <color rgb="FF888888"/>
        <rFont val="Noto Sans CJK SC"/>
        <family val="2"/>
      </rPr>
      <t xml:space="preserve">收盤：</t>
    </r>
    <r>
      <rPr>
        <i val="true"/>
        <sz val="9"/>
        <color rgb="FF888888"/>
        <rFont val="Arial"/>
        <family val="0"/>
        <charset val="1"/>
      </rPr>
      <t xml:space="preserve">385.0</t>
    </r>
    <r>
      <rPr>
        <i val="true"/>
        <sz val="9"/>
        <color rgb="FF888888"/>
        <rFont val="Noto Sans CJK SC"/>
        <family val="2"/>
      </rPr>
      <t xml:space="preserve">元，本益比</t>
    </r>
    <r>
      <rPr>
        <i val="true"/>
        <sz val="9"/>
        <color rgb="FF888888"/>
        <rFont val="Arial"/>
        <family val="0"/>
        <charset val="1"/>
      </rPr>
      <t xml:space="preserve">94.13x</t>
    </r>
    <r>
      <rPr>
        <i val="true"/>
        <sz val="9"/>
        <color rgb="FF888888"/>
        <rFont val="Noto Sans CJK SC"/>
        <family val="2"/>
      </rPr>
      <t xml:space="preserve">（同業平均</t>
    </r>
    <r>
      <rPr>
        <i val="true"/>
        <sz val="9"/>
        <color rgb="FF888888"/>
        <rFont val="Arial"/>
        <family val="0"/>
        <charset val="1"/>
      </rPr>
      <t xml:space="preserve">80.03x</t>
    </r>
    <r>
      <rPr>
        <i val="true"/>
        <sz val="9"/>
        <color rgb="FF888888"/>
        <rFont val="Noto Sans CJK SC"/>
        <family val="2"/>
      </rPr>
      <t xml:space="preserve">），</t>
    </r>
    <r>
      <rPr>
        <i val="true"/>
        <sz val="9"/>
        <color rgb="FF888888"/>
        <rFont val="Arial"/>
        <family val="0"/>
        <charset val="1"/>
      </rPr>
      <t xml:space="preserve">Claude in Chrome</t>
    </r>
    <r>
      <rPr>
        <i val="true"/>
        <sz val="9"/>
        <color rgb="FF888888"/>
        <rFont val="Noto Sans CJK SC"/>
        <family val="2"/>
      </rPr>
      <t xml:space="preserve">抓取（</t>
    </r>
    <r>
      <rPr>
        <i val="true"/>
        <sz val="9"/>
        <color rgb="FF888888"/>
        <rFont val="Arial"/>
        <family val="0"/>
        <charset val="1"/>
      </rPr>
      <t xml:space="preserve">07/06</t>
    </r>
    <r>
      <rPr>
        <i val="true"/>
        <sz val="9"/>
        <color rgb="FF888888"/>
        <rFont val="Noto Sans CJK SC"/>
        <family val="2"/>
      </rPr>
      <t xml:space="preserve">確認時為</t>
    </r>
    <r>
      <rPr>
        <i val="true"/>
        <sz val="9"/>
        <color rgb="FF888888"/>
        <rFont val="Arial"/>
        <family val="0"/>
        <charset val="1"/>
      </rPr>
      <t xml:space="preserve">394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/96.33x</t>
    </r>
    <r>
      <rPr>
        <i val="true"/>
        <sz val="9"/>
        <color rgb="FF888888"/>
        <rFont val="Noto Sans CJK SC"/>
        <family val="2"/>
      </rPr>
      <t xml:space="preserve">，本次更新為最新收盤價）</t>
    </r>
  </si>
  <si>
    <t xml:space="preserve">⑤ 情境調整（相對基本假設）</t>
  </si>
  <si>
    <t xml:space="preserve">情境</t>
  </si>
  <si>
    <t xml:space="preserve">機率</t>
  </si>
  <si>
    <t xml:space="preserve">營收成長率調整</t>
  </si>
  <si>
    <t xml:space="preserve">毛利率調整</t>
  </si>
  <si>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PE</t>
    </r>
  </si>
  <si>
    <t xml:space="preserve">情境說明</t>
  </si>
  <si>
    <t xml:space="preserve">樂觀</t>
  </si>
  <si>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營收占比擴大至</t>
    </r>
    <r>
      <rPr>
        <i val="true"/>
        <sz val="9"/>
        <color rgb="FF888888"/>
        <rFont val="Arial"/>
        <family val="0"/>
        <charset val="1"/>
      </rPr>
      <t xml:space="preserve">40%</t>
    </r>
    <r>
      <rPr>
        <i val="true"/>
        <sz val="9"/>
        <color rgb="FF888888"/>
        <rFont val="Noto Sans CJK SC"/>
        <family val="2"/>
      </rPr>
      <t xml:space="preserve">以上、</t>
    </r>
    <r>
      <rPr>
        <i val="true"/>
        <sz val="9"/>
        <color rgb="FF888888"/>
        <rFont val="Arial"/>
        <family val="0"/>
        <charset val="1"/>
      </rPr>
      <t xml:space="preserve">M8/M9</t>
    </r>
    <r>
      <rPr>
        <i val="true"/>
        <sz val="9"/>
        <color rgb="FF888888"/>
        <rFont val="Noto Sans CJK SC"/>
        <family val="2"/>
      </rPr>
      <t xml:space="preserve">接棒放量，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叫貨曲線延續</t>
    </r>
    <r>
      <rPr>
        <i val="true"/>
        <sz val="9"/>
        <color rgb="FF888888"/>
        <rFont val="Arial"/>
        <family val="0"/>
        <charset val="1"/>
      </rPr>
      <t xml:space="preserve">9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80</t>
    </r>
    <r>
      <rPr>
        <i val="true"/>
        <sz val="9"/>
        <color rgb="FF888888"/>
        <rFont val="Noto Sans CJK SC"/>
        <family val="2"/>
      </rPr>
      <t xml:space="preserve">噸後續加速；原</t>
    </r>
    <r>
      <rPr>
        <i val="true"/>
        <sz val="9"/>
        <color rgb="FF888888"/>
        <rFont val="Arial"/>
        <family val="0"/>
        <charset val="1"/>
      </rPr>
      <t xml:space="preserve">07/01</t>
    </r>
    <r>
      <rPr>
        <i val="true"/>
        <sz val="9"/>
        <color rgb="FF888888"/>
        <rFont val="Noto Sans CJK SC"/>
        <family val="2"/>
      </rPr>
      <t xml:space="preserve">報告樂觀情境對應</t>
    </r>
    <r>
      <rPr>
        <i val="true"/>
        <sz val="9"/>
        <color rgb="FF888888"/>
        <rFont val="Arial"/>
        <family val="0"/>
        <charset val="1"/>
      </rPr>
      <t xml:space="preserve">2027E EPS 20</t>
    </r>
    <r>
      <rPr>
        <i val="true"/>
        <sz val="9"/>
        <color rgb="FF888888"/>
        <rFont val="Noto Sans CJK SC"/>
        <family val="2"/>
      </rPr>
      <t xml:space="preserve">元以上</t>
    </r>
  </si>
  <si>
    <t xml:space="preserve">基本</t>
  </si>
  <si>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量價放大路徑延續，</t>
    </r>
    <r>
      <rPr>
        <i val="true"/>
        <sz val="9"/>
        <color rgb="FF888888"/>
        <rFont val="Arial"/>
        <family val="0"/>
        <charset val="1"/>
      </rPr>
      <t xml:space="preserve">10</t>
    </r>
    <r>
      <rPr>
        <i val="true"/>
        <sz val="9"/>
        <color rgb="FF888888"/>
        <rFont val="Noto Sans CJK SC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維持</t>
    </r>
    <r>
      <rPr>
        <i val="true"/>
        <sz val="9"/>
        <color rgb="FF888888"/>
        <rFont val="Arial"/>
        <family val="0"/>
        <charset val="1"/>
      </rPr>
      <t xml:space="preserve">80</t>
    </r>
    <r>
      <rPr>
        <i val="true"/>
        <sz val="9"/>
        <color rgb="FF888888"/>
        <rFont val="Noto Sans CJK SC"/>
        <family val="2"/>
      </rPr>
      <t xml:space="preserve">噸以上、營收占比站上</t>
    </r>
    <r>
      <rPr>
        <i val="true"/>
        <sz val="9"/>
        <color rgb="FF888888"/>
        <rFont val="Arial"/>
        <family val="0"/>
        <charset val="1"/>
      </rPr>
      <t xml:space="preserve">30%</t>
    </r>
    <r>
      <rPr>
        <i val="true"/>
        <sz val="9"/>
        <color rgb="FF888888"/>
        <rFont val="Noto Sans CJK SC"/>
        <family val="2"/>
      </rPr>
      <t xml:space="preserve">；</t>
    </r>
    <r>
      <rPr>
        <i val="true"/>
        <sz val="9"/>
        <color rgb="FF888888"/>
        <rFont val="Arial"/>
        <family val="0"/>
        <charset val="1"/>
      </rPr>
      <t xml:space="preserve">07/02</t>
    </r>
    <r>
      <rPr>
        <i val="true"/>
        <sz val="9"/>
        <color rgb="FF888888"/>
        <rFont val="Noto Sans CJK SC"/>
        <family val="2"/>
      </rPr>
      <t xml:space="preserve">法說會</t>
    </r>
    <r>
      <rPr>
        <i val="true"/>
        <sz val="9"/>
        <color rgb="FF888888"/>
        <rFont val="Arial"/>
        <family val="0"/>
        <charset val="1"/>
      </rPr>
      <t xml:space="preserve">Q2 guidance</t>
    </r>
    <r>
      <rPr>
        <i val="true"/>
        <sz val="9"/>
        <color rgb="FF888888"/>
        <rFont val="Noto Sans CJK SC"/>
        <family val="2"/>
      </rPr>
      <t xml:space="preserve">上修為此情境提供即時佐證</t>
    </r>
  </si>
  <si>
    <r>
      <rPr>
        <sz val="10"/>
        <color rgb="FF000000"/>
        <rFont val="Noto Sans CJK SC"/>
        <family val="2"/>
      </rPr>
      <t xml:space="preserve">保守（加寬版，</t>
    </r>
    <r>
      <rPr>
        <sz val="10"/>
        <color rgb="FF000000"/>
        <rFont val="Arial"/>
        <family val="0"/>
        <charset val="1"/>
      </rPr>
      <t xml:space="preserve">2026-07-10</t>
    </r>
    <r>
      <rPr>
        <sz val="10"/>
        <color rgb="FF000000"/>
        <rFont val="Noto Sans CJK SC"/>
        <family val="2"/>
      </rPr>
      <t xml:space="preserve">依</t>
    </r>
    <r>
      <rPr>
        <sz val="10"/>
        <color rgb="FF000000"/>
        <rFont val="Arial"/>
        <family val="0"/>
        <charset val="1"/>
      </rPr>
      <t xml:space="preserve">Wallace</t>
    </r>
    <r>
      <rPr>
        <sz val="10"/>
        <color rgb="FF000000"/>
        <rFont val="Noto Sans CJK SC"/>
        <family val="2"/>
      </rPr>
      <t xml:space="preserve">指示調整）</t>
    </r>
  </si>
  <si>
    <r>
      <rPr>
        <i val="true"/>
        <sz val="9"/>
        <color rgb="FF888888"/>
        <rFont val="Arial"/>
        <family val="0"/>
        <charset val="1"/>
      </rPr>
      <t xml:space="preserve">⚠️0710</t>
    </r>
    <r>
      <rPr>
        <i val="true"/>
        <sz val="9"/>
        <color rgb="FF888888"/>
        <rFont val="Noto Sans CJK SC"/>
        <family val="2"/>
      </rPr>
      <t xml:space="preserve">更新：因應紅隊與</t>
    </r>
    <r>
      <rPr>
        <i val="true"/>
        <sz val="9"/>
        <color rgb="FF888888"/>
        <rFont val="Arial"/>
        <family val="0"/>
        <charset val="1"/>
      </rPr>
      <t xml:space="preserve">Wallace</t>
    </r>
    <r>
      <rPr>
        <i val="true"/>
        <sz val="9"/>
        <color rgb="FF888888"/>
        <rFont val="Noto Sans CJK SC"/>
        <family val="2"/>
      </rPr>
      <t xml:space="preserve">筆記均標記「</t>
    </r>
    <r>
      <rPr>
        <i val="true"/>
        <sz val="9"/>
        <color rgb="FF888888"/>
        <rFont val="Arial"/>
        <family val="0"/>
        <charset val="1"/>
      </rPr>
      <t xml:space="preserve">M7 ASP</t>
    </r>
    <r>
      <rPr>
        <i val="true"/>
        <sz val="9"/>
        <color rgb="FF888888"/>
        <rFont val="Noto Sans CJK SC"/>
        <family val="2"/>
      </rPr>
      <t xml:space="preserve">較</t>
    </r>
    <r>
      <rPr>
        <i val="true"/>
        <sz val="9"/>
        <color rgb="FF888888"/>
        <rFont val="Arial"/>
        <family val="0"/>
        <charset val="1"/>
      </rPr>
      <t xml:space="preserve">M6</t>
    </r>
    <r>
      <rPr>
        <i val="true"/>
        <sz val="9"/>
        <color rgb="FF888888"/>
        <rFont val="Noto Sans CJK SC"/>
        <family val="2"/>
      </rPr>
      <t xml:space="preserve">溢價</t>
    </r>
    <r>
      <rPr>
        <i val="true"/>
        <sz val="9"/>
        <color rgb="FF888888"/>
        <rFont val="Arial"/>
        <family val="0"/>
        <charset val="1"/>
      </rPr>
      <t xml:space="preserve">+30%</t>
    </r>
    <r>
      <rPr>
        <i val="true"/>
        <sz val="9"/>
        <color rgb="FF888888"/>
        <rFont val="Noto Sans CJK SC"/>
        <family val="2"/>
      </rPr>
      <t xml:space="preserve">」為模型最脆弱假設，本情境假設此溢價未如預期實現（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雖放量但</t>
    </r>
    <r>
      <rPr>
        <i val="true"/>
        <sz val="9"/>
        <color rgb="FF888888"/>
        <rFont val="Arial"/>
        <family val="0"/>
        <charset val="1"/>
      </rPr>
      <t xml:space="preserve">ASP</t>
    </r>
    <r>
      <rPr>
        <i val="true"/>
        <sz val="9"/>
        <color rgb="FF888888"/>
        <rFont val="Noto Sans CJK SC"/>
        <family val="2"/>
      </rPr>
      <t xml:space="preserve">僅持平或小漲），</t>
    </r>
    <r>
      <rPr>
        <i val="true"/>
        <sz val="9"/>
        <color rgb="FF888888"/>
        <rFont val="Arial"/>
        <family val="0"/>
        <charset val="1"/>
      </rPr>
      <t xml:space="preserve">M7</t>
    </r>
    <r>
      <rPr>
        <i val="true"/>
        <sz val="9"/>
        <color rgb="FF888888"/>
        <rFont val="Noto Sans CJK SC"/>
        <family val="2"/>
      </rPr>
      <t xml:space="preserve">營收貢獻大幅縮水，疊加</t>
    </r>
    <r>
      <rPr>
        <i val="true"/>
        <sz val="9"/>
        <color rgb="FF888888"/>
        <rFont val="Arial"/>
        <family val="0"/>
        <charset val="1"/>
      </rPr>
      <t xml:space="preserve">mPPO</t>
    </r>
    <r>
      <rPr>
        <i val="true"/>
        <sz val="9"/>
        <color rgb="FF888888"/>
        <rFont val="Noto Sans CJK SC"/>
        <family val="2"/>
      </rPr>
      <t xml:space="preserve">用量成長不如預期回落之風險，營收成長率下修</t>
    </r>
    <r>
      <rPr>
        <i val="true"/>
        <sz val="9"/>
        <color rgb="FF888888"/>
        <rFont val="Arial"/>
        <family val="0"/>
        <charset val="1"/>
      </rPr>
      <t xml:space="preserve">30</t>
    </r>
    <r>
      <rPr>
        <i val="true"/>
        <sz val="9"/>
        <color rgb="FF888888"/>
        <rFont val="Noto Sans CJK SC"/>
        <family val="2"/>
      </rPr>
      <t xml:space="preserve">個百分點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原</t>
    </r>
    <r>
      <rPr>
        <i val="true"/>
        <sz val="9"/>
        <color rgb="FF888888"/>
        <rFont val="Arial"/>
        <family val="0"/>
        <charset val="1"/>
      </rPr>
      <t xml:space="preserve">-15pp</t>
    </r>
    <r>
      <rPr>
        <i val="true"/>
        <sz val="9"/>
        <color rgb="FF888888"/>
        <rFont val="Noto Sans CJK SC"/>
        <family val="2"/>
      </rPr>
      <t xml:space="preserve">加寬一倍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、毛利率下修</t>
    </r>
    <r>
      <rPr>
        <i val="true"/>
        <sz val="9"/>
        <color rgb="FF888888"/>
        <rFont val="Arial"/>
        <family val="0"/>
        <charset val="1"/>
      </rPr>
      <t xml:space="preserve">4pp(</t>
    </r>
    <r>
      <rPr>
        <i val="true"/>
        <sz val="9"/>
        <color rgb="FF888888"/>
        <rFont val="Noto Sans CJK SC"/>
        <family val="2"/>
      </rPr>
      <t xml:space="preserve">原</t>
    </r>
    <r>
      <rPr>
        <i val="true"/>
        <sz val="9"/>
        <color rgb="FF888888"/>
        <rFont val="Arial"/>
        <family val="0"/>
        <charset val="1"/>
      </rPr>
      <t xml:space="preserve">-2.5pp</t>
    </r>
    <r>
      <rPr>
        <i val="true"/>
        <sz val="9"/>
        <color rgb="FF888888"/>
        <rFont val="Noto Sans CJK SC"/>
        <family val="2"/>
      </rPr>
      <t xml:space="preserve">加寬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，目標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壓至</t>
    </r>
    <r>
      <rPr>
        <i val="true"/>
        <sz val="9"/>
        <color rgb="FF888888"/>
        <rFont val="Arial"/>
        <family val="0"/>
        <charset val="1"/>
      </rPr>
      <t xml:space="preserve">20x</t>
    </r>
    <r>
      <rPr>
        <i val="true"/>
        <sz val="9"/>
        <color rgb="FF888888"/>
        <rFont val="Noto Sans CJK SC"/>
        <family val="2"/>
      </rPr>
      <t xml:space="preserve">，反映重估行情部分證偽</t>
    </r>
  </si>
  <si>
    <r>
      <rPr>
        <sz val="10"/>
        <color rgb="FF000000"/>
        <rFont val="Noto Sans CJK SC"/>
        <family val="2"/>
      </rPr>
      <t xml:space="preserve">循環見頂（新增，</t>
    </r>
    <r>
      <rPr>
        <sz val="10"/>
        <color rgb="FF000000"/>
        <rFont val="Arial"/>
        <family val="0"/>
        <charset val="1"/>
      </rPr>
      <t xml:space="preserve">2026-07-10</t>
    </r>
    <r>
      <rPr>
        <sz val="10"/>
        <color rgb="FF000000"/>
        <rFont val="Noto Sans CJK SC"/>
        <family val="2"/>
      </rPr>
      <t xml:space="preserve">依</t>
    </r>
    <r>
      <rPr>
        <sz val="10"/>
        <color rgb="FF000000"/>
        <rFont val="Arial"/>
        <family val="0"/>
        <charset val="1"/>
      </rPr>
      <t xml:space="preserve">Wallace</t>
    </r>
    <r>
      <rPr>
        <sz val="10"/>
        <color rgb="FF000000"/>
        <rFont val="Noto Sans CJK SC"/>
        <family val="2"/>
      </rPr>
      <t xml:space="preserve">指示新增）</t>
    </r>
  </si>
  <si>
    <r>
      <rPr>
        <i val="true"/>
        <sz val="9"/>
        <color rgb="FF888888"/>
        <rFont val="Arial"/>
        <family val="0"/>
        <charset val="1"/>
      </rPr>
      <t xml:space="preserve">⚠️0710</t>
    </r>
    <r>
      <rPr>
        <i val="true"/>
        <sz val="9"/>
        <color rgb="FF888888"/>
        <rFont val="Noto Sans CJK SC"/>
        <family val="2"/>
      </rPr>
      <t xml:space="preserve">新增：對應法人共識</t>
    </r>
    <r>
      <rPr>
        <i val="true"/>
        <sz val="9"/>
        <color rgb="FF888888"/>
        <rFont val="Arial"/>
        <family val="0"/>
        <charset val="1"/>
      </rPr>
      <t xml:space="preserve">2028F EPS</t>
    </r>
    <r>
      <rPr>
        <i val="true"/>
        <sz val="9"/>
        <color rgb="FF888888"/>
        <rFont val="Noto Sans CJK SC"/>
        <family val="2"/>
      </rPr>
      <t xml:space="preserve">較</t>
    </r>
    <r>
      <rPr>
        <i val="true"/>
        <sz val="9"/>
        <color rgb="FF888888"/>
        <rFont val="Arial"/>
        <family val="0"/>
        <charset val="1"/>
      </rPr>
      <t xml:space="preserve">2027F -13.7%</t>
    </r>
    <r>
      <rPr>
        <i val="true"/>
        <sz val="9"/>
        <color rgb="FF888888"/>
        <rFont val="Noto Sans CJK SC"/>
        <family val="2"/>
      </rPr>
      <t xml:space="preserve">（見產業幕僚法人預估節），假設</t>
    </r>
    <r>
      <rPr>
        <i val="true"/>
        <sz val="9"/>
        <color rgb="FF888888"/>
        <rFont val="Arial"/>
        <family val="0"/>
        <charset val="1"/>
      </rPr>
      <t xml:space="preserve">CCL</t>
    </r>
    <r>
      <rPr>
        <i val="true"/>
        <sz val="9"/>
        <color rgb="FF888888"/>
        <rFont val="Noto Sans CJK SC"/>
        <family val="2"/>
      </rPr>
      <t xml:space="preserve">漲價循環於</t>
    </r>
    <r>
      <rPr>
        <i val="true"/>
        <sz val="9"/>
        <color rgb="FF888888"/>
        <rFont val="Arial"/>
        <family val="0"/>
        <charset val="1"/>
      </rPr>
      <t xml:space="preserve">2027</t>
    </r>
    <r>
      <rPr>
        <i val="true"/>
        <sz val="9"/>
        <color rgb="FF888888"/>
        <rFont val="Noto Sans CJK SC"/>
        <family val="2"/>
      </rPr>
      <t xml:space="preserve">年見頂、</t>
    </r>
    <r>
      <rPr>
        <i val="true"/>
        <sz val="9"/>
        <color rgb="FF888888"/>
        <rFont val="Arial"/>
        <family val="0"/>
        <charset val="1"/>
      </rPr>
      <t xml:space="preserve">2028</t>
    </r>
    <r>
      <rPr>
        <i val="true"/>
        <sz val="9"/>
        <color rgb="FF888888"/>
        <rFont val="Noto Sans CJK SC"/>
        <family val="2"/>
      </rPr>
      <t xml:space="preserve">年進入產業消化期（供給端玻纖布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銅箔擴產陸續到位、需求端</t>
    </r>
    <r>
      <rPr>
        <i val="true"/>
        <sz val="9"/>
        <color rgb="FF888888"/>
        <rFont val="Arial"/>
        <family val="0"/>
        <charset val="1"/>
      </rPr>
      <t xml:space="preserve">AI</t>
    </r>
    <r>
      <rPr>
        <i val="true"/>
        <sz val="9"/>
        <color rgb="FF888888"/>
        <rFont val="Noto Sans CJK SC"/>
        <family val="2"/>
      </rPr>
      <t xml:space="preserve">資本支出成長放緩），</t>
    </r>
    <r>
      <rPr>
        <i val="true"/>
        <sz val="9"/>
        <color rgb="FF888888"/>
        <rFont val="Arial"/>
        <family val="0"/>
        <charset val="1"/>
      </rPr>
      <t xml:space="preserve">growth_delta</t>
    </r>
    <r>
      <rPr>
        <i val="true"/>
        <sz val="9"/>
        <color rgb="FF888888"/>
        <rFont val="Noto Sans CJK SC"/>
        <family val="2"/>
      </rPr>
      <t xml:space="preserve">校準至</t>
    </r>
    <r>
      <rPr>
        <i val="true"/>
        <sz val="9"/>
        <color rgb="FF888888"/>
        <rFont val="Arial"/>
        <family val="0"/>
        <charset val="1"/>
      </rPr>
      <t xml:space="preserve">2028E EPS≈14.80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SC"/>
        <family val="2"/>
      </rPr>
      <t xml:space="preserve">法人共識</t>
    </r>
    <r>
      <rPr>
        <i val="true"/>
        <sz val="9"/>
        <color rgb="FF888888"/>
        <rFont val="Arial"/>
        <family val="0"/>
        <charset val="1"/>
      </rPr>
      <t xml:space="preserve">2028F</t>
    </r>
    <r>
      <rPr>
        <i val="true"/>
        <sz val="9"/>
        <color rgb="FF888888"/>
        <rFont val="Noto Sans CJK SC"/>
        <family val="2"/>
      </rPr>
      <t xml:space="preserve">水準</t>
    </r>
    <r>
      <rPr>
        <i val="true"/>
        <sz val="9"/>
        <color rgb="FF888888"/>
        <rFont val="Arial"/>
        <family val="0"/>
        <charset val="1"/>
      </rPr>
      <t xml:space="preserve">)</t>
    </r>
    <r>
      <rPr>
        <i val="true"/>
        <sz val="9"/>
        <color rgb="FF888888"/>
        <rFont val="Noto Sans CJK SC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同步向下修正至</t>
    </r>
    <r>
      <rPr>
        <i val="true"/>
        <sz val="9"/>
        <color rgb="FF888888"/>
        <rFont val="Arial"/>
        <family val="0"/>
        <charset val="1"/>
      </rPr>
      <t xml:space="preserve">16x</t>
    </r>
    <r>
      <rPr>
        <i val="true"/>
        <sz val="9"/>
        <color rgb="FF888888"/>
        <rFont val="Noto Sans CJK SC"/>
        <family val="2"/>
      </rPr>
      <t xml:space="preserve">反映景氣循環股在下行段的估值收縮；提醒長線持有者</t>
    </r>
    <r>
      <rPr>
        <i val="true"/>
        <sz val="9"/>
        <color rgb="FF888888"/>
        <rFont val="Arial"/>
        <family val="0"/>
        <charset val="1"/>
      </rPr>
      <t xml:space="preserve">2027</t>
    </r>
    <r>
      <rPr>
        <i val="true"/>
        <sz val="9"/>
        <color rgb="FF888888"/>
        <rFont val="Noto Sans CJK SC"/>
        <family val="2"/>
      </rPr>
      <t xml:space="preserve">年後應密切追蹤玻纖布供給緩解進度與</t>
    </r>
    <r>
      <rPr>
        <i val="true"/>
        <sz val="9"/>
        <color rgb="FF888888"/>
        <rFont val="Arial"/>
        <family val="0"/>
        <charset val="1"/>
      </rPr>
      <t xml:space="preserve">AI</t>
    </r>
    <r>
      <rPr>
        <i val="true"/>
        <sz val="9"/>
        <color rgb="FF888888"/>
        <rFont val="Noto Sans CJK SC"/>
        <family val="2"/>
      </rPr>
      <t xml:space="preserve">資本支出年增率是否放緩</t>
    </r>
  </si>
  <si>
    <r>
      <rPr>
        <b val="true"/>
        <sz val="14"/>
        <color rgb="FF1A2540"/>
        <rFont val="Arial"/>
        <family val="0"/>
        <charset val="1"/>
      </rPr>
      <t xml:space="preserve">EPS </t>
    </r>
    <r>
      <rPr>
        <b val="true"/>
        <sz val="14"/>
        <color rgb="FF1A2540"/>
        <rFont val="Noto Sans CJK SC"/>
        <family val="2"/>
      </rPr>
      <t xml:space="preserve">計算（全公式，勿直接改本表——請改 </t>
    </r>
    <r>
      <rPr>
        <b val="true"/>
        <sz val="14"/>
        <color rgb="FF1A2540"/>
        <rFont val="Arial"/>
        <family val="0"/>
        <charset val="1"/>
      </rPr>
      <t xml:space="preserve">1_</t>
    </r>
    <r>
      <rPr>
        <b val="true"/>
        <sz val="14"/>
        <color rgb="FF1A2540"/>
        <rFont val="Noto Sans CJK SC"/>
        <family val="2"/>
      </rPr>
      <t xml:space="preserve">輸入區）</t>
    </r>
  </si>
  <si>
    <t xml:space="preserve">2025A</t>
  </si>
  <si>
    <t xml:space="preserve">2026E</t>
  </si>
  <si>
    <t xml:space="preserve">2027E</t>
  </si>
  <si>
    <t xml:space="preserve">2028E</t>
  </si>
  <si>
    <r>
      <rPr>
        <sz val="10"/>
        <color rgb="FF000000"/>
        <rFont val="Noto Sans CJK SC"/>
        <family val="2"/>
      </rPr>
      <t xml:space="preserve">傳統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中低階</t>
    </r>
    <r>
      <rPr>
        <sz val="10"/>
        <color rgb="FF000000"/>
        <rFont val="Arial"/>
        <family val="0"/>
        <charset val="1"/>
      </rPr>
      <t xml:space="preserve">CCL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FR4~M4</t>
    </r>
    <r>
      <rPr>
        <sz val="10"/>
        <color rgb="FF000000"/>
        <rFont val="Noto Sans CJK SC"/>
        <family val="2"/>
      </rPr>
      <t xml:space="preserve">為主） 營收</t>
    </r>
  </si>
  <si>
    <r>
      <rPr>
        <sz val="10"/>
        <color rgb="FF000000"/>
        <rFont val="Arial"/>
        <family val="0"/>
        <charset val="1"/>
      </rPr>
      <t xml:space="preserve">M6</t>
    </r>
    <r>
      <rPr>
        <sz val="10"/>
        <color rgb="FF000000"/>
        <rFont val="Noto Sans CJK SC"/>
        <family val="2"/>
      </rPr>
      <t xml:space="preserve">（通用伺服器主流材料） 營收</t>
    </r>
  </si>
  <si>
    <r>
      <rPr>
        <sz val="10"/>
        <color rgb="FF000000"/>
        <rFont val="Arial"/>
        <family val="0"/>
        <charset val="1"/>
      </rPr>
      <t xml:space="preserve">M7</t>
    </r>
    <r>
      <rPr>
        <sz val="10"/>
        <color rgb="FF000000"/>
        <rFont val="Noto Sans CJK SC"/>
        <family val="2"/>
      </rPr>
      <t xml:space="preserve">以上（</t>
    </r>
    <r>
      <rPr>
        <sz val="10"/>
        <color rgb="FF000000"/>
        <rFont val="Arial"/>
        <family val="0"/>
        <charset val="1"/>
      </rPr>
      <t xml:space="preserve">M7/M8/M9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低軌衛星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交換機） 營收</t>
    </r>
  </si>
  <si>
    <t xml:space="preserve">總營收（億元）</t>
  </si>
  <si>
    <t xml:space="preserve">n/a</t>
  </si>
  <si>
    <t xml:space="preserve">營業毛利（億元）</t>
  </si>
  <si>
    <t xml:space="preserve">營業利益（億元）</t>
  </si>
  <si>
    <t xml:space="preserve">業外收支率</t>
  </si>
  <si>
    <t xml:space="preserve">稅前淨利（億元）</t>
  </si>
  <si>
    <t xml:space="preserve">稅後淨利（億元）</t>
  </si>
  <si>
    <r>
      <rPr>
        <b val="true"/>
        <sz val="10"/>
        <rFont val="Arial"/>
        <family val="0"/>
        <charset val="1"/>
      </rPr>
      <t xml:space="preserve">EPS</t>
    </r>
    <r>
      <rPr>
        <b val="true"/>
        <sz val="10"/>
        <rFont val="Noto Sans CJK SC"/>
        <family val="2"/>
      </rPr>
      <t xml:space="preserve">（元）</t>
    </r>
  </si>
  <si>
    <r>
      <rPr>
        <sz val="10"/>
        <color rgb="FF000000"/>
        <rFont val="Noto Sans CJK SC"/>
        <family val="2"/>
      </rPr>
      <t xml:space="preserve">目標價（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下緣）</t>
    </r>
  </si>
  <si>
    <r>
      <rPr>
        <sz val="10"/>
        <color rgb="FF000000"/>
        <rFont val="Noto Sans CJK SC"/>
        <family val="2"/>
      </rPr>
      <t xml:space="preserve">目標價（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上緣）</t>
    </r>
  </si>
  <si>
    <t xml:space="preserve">敏感度矩陣（以最後預測年度為基準）</t>
  </si>
  <si>
    <r>
      <rPr>
        <b val="true"/>
        <sz val="11"/>
        <color rgb="FFFFFFFF"/>
        <rFont val="Noto Sans CJK SC"/>
        <family val="2"/>
      </rPr>
      <t xml:space="preserve">矩陣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：</t>
    </r>
    <r>
      <rPr>
        <b val="true"/>
        <sz val="11"/>
        <color rgb="FFFFFFFF"/>
        <rFont val="Arial"/>
        <family val="0"/>
        <charset val="1"/>
      </rPr>
      <t xml:space="preserve">2028E </t>
    </r>
    <r>
      <rPr>
        <b val="true"/>
        <sz val="11"/>
        <color rgb="FFFFFFFF"/>
        <rFont val="Noto Sans CJK SC"/>
        <family val="2"/>
      </rPr>
      <t xml:space="preserve">總營收</t>
    </r>
    <r>
      <rPr>
        <b val="true"/>
        <sz val="11"/>
        <color rgb="FFFFFFFF"/>
        <rFont val="Arial"/>
        <family val="0"/>
        <charset val="1"/>
      </rPr>
      <t xml:space="preserve">YoY × </t>
    </r>
    <r>
      <rPr>
        <b val="true"/>
        <sz val="11"/>
        <color rgb="FFFFFFFF"/>
        <rFont val="Noto Sans CJK SC"/>
        <family val="2"/>
      </rPr>
      <t xml:space="preserve">毛利率 → </t>
    </r>
    <r>
      <rPr>
        <b val="true"/>
        <sz val="11"/>
        <color rgb="FFFFFFFF"/>
        <rFont val="Arial"/>
        <family val="0"/>
        <charset val="1"/>
      </rPr>
      <t xml:space="preserve">EPS</t>
    </r>
  </si>
  <si>
    <r>
      <rPr>
        <b val="true"/>
        <sz val="10"/>
        <rFont val="Noto Sans CJK SC"/>
        <family val="2"/>
      </rPr>
      <t xml:space="preserve">營收</t>
    </r>
    <r>
      <rPr>
        <b val="true"/>
        <sz val="10"/>
        <rFont val="Arial"/>
        <family val="0"/>
        <charset val="1"/>
      </rPr>
      <t xml:space="preserve">YoY\</t>
    </r>
    <r>
      <rPr>
        <b val="true"/>
        <sz val="10"/>
        <rFont val="Noto Sans CJK SC"/>
        <family val="2"/>
      </rPr>
      <t xml:space="preserve">毛利率</t>
    </r>
  </si>
  <si>
    <r>
      <rPr>
        <b val="true"/>
        <sz val="11"/>
        <color rgb="FFFFFFFF"/>
        <rFont val="Noto Sans CJK SC"/>
        <family val="2"/>
      </rPr>
      <t xml:space="preserve">矩陣</t>
    </r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：</t>
    </r>
    <r>
      <rPr>
        <b val="true"/>
        <sz val="11"/>
        <color rgb="FFFFFFFF"/>
        <rFont val="Arial"/>
        <family val="0"/>
        <charset val="1"/>
      </rPr>
      <t xml:space="preserve">2028E EPS × PE → </t>
    </r>
    <r>
      <rPr>
        <b val="true"/>
        <sz val="11"/>
        <color rgb="FFFFFFFF"/>
        <rFont val="Noto Sans CJK SC"/>
        <family val="2"/>
      </rPr>
      <t xml:space="preserve">目標價（綠＝高於現價，紅＝低於現價）</t>
    </r>
  </si>
  <si>
    <t xml:space="preserve">EPS\PE</t>
  </si>
  <si>
    <r>
      <rPr>
        <b val="true"/>
        <sz val="14"/>
        <color rgb="FF1A2540"/>
        <rFont val="Noto Sans CJK SC"/>
        <family val="2"/>
      </rPr>
      <t xml:space="preserve">三情境目標價 </t>
    </r>
    <r>
      <rPr>
        <b val="true"/>
        <sz val="14"/>
        <color rgb="FF1A2540"/>
        <rFont val="Arial"/>
        <family val="0"/>
        <charset val="1"/>
      </rPr>
      <t xml:space="preserve">+ </t>
    </r>
    <r>
      <rPr>
        <b val="true"/>
        <sz val="14"/>
        <color rgb="FF1A2540"/>
        <rFont val="Noto Sans CJK SC"/>
        <family val="2"/>
      </rPr>
      <t xml:space="preserve">機率加權 </t>
    </r>
    <r>
      <rPr>
        <b val="true"/>
        <sz val="14"/>
        <color rgb="FF1A2540"/>
        <rFont val="Arial"/>
        <family val="0"/>
        <charset val="1"/>
      </rPr>
      <t xml:space="preserve">+ </t>
    </r>
    <r>
      <rPr>
        <b val="true"/>
        <sz val="14"/>
        <color rgb="FF1A2540"/>
        <rFont val="Noto Sans CJK SC"/>
        <family val="2"/>
      </rPr>
      <t xml:space="preserve">隱含成長率檢核</t>
    </r>
  </si>
  <si>
    <t xml:space="preserve">2028E EPS</t>
  </si>
  <si>
    <r>
      <rPr>
        <b val="true"/>
        <sz val="10"/>
        <rFont val="Noto Sans CJK SC"/>
        <family val="2"/>
      </rPr>
      <t xml:space="preserve">情境</t>
    </r>
    <r>
      <rPr>
        <b val="true"/>
        <sz val="10"/>
        <rFont val="Arial"/>
        <family val="0"/>
        <charset val="1"/>
      </rPr>
      <t xml:space="preserve">PE</t>
    </r>
  </si>
  <si>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現價</t>
    </r>
  </si>
  <si>
    <t xml:space="preserve">機率加權目標價</t>
  </si>
  <si>
    <r>
      <rPr>
        <b val="true"/>
        <sz val="10"/>
        <rFont val="Noto Sans CJK SC"/>
        <family val="2"/>
      </rPr>
      <t xml:space="preserve">現況本益比基準對照組（不含重評假設，僅反映</t>
    </r>
    <r>
      <rPr>
        <b val="true"/>
        <sz val="10"/>
        <rFont val="Arial"/>
        <family val="0"/>
        <charset val="1"/>
      </rPr>
      <t xml:space="preserve">EPS</t>
    </r>
    <r>
      <rPr>
        <b val="true"/>
        <sz val="10"/>
        <rFont val="Noto Sans CJK SC"/>
        <family val="2"/>
      </rPr>
      <t xml:space="preserve">成長）</t>
    </r>
  </si>
  <si>
    <r>
      <rPr>
        <i val="true"/>
        <sz val="9"/>
        <color rgb="FF888888"/>
        <rFont val="Noto Sans CJK SC"/>
        <family val="2"/>
      </rPr>
      <t xml:space="preserve">用途：情境目標價已內含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重評（現況本益比→</t>
    </r>
    <r>
      <rPr>
        <i val="true"/>
        <sz val="9"/>
        <color rgb="FF888888"/>
        <rFont val="Arial"/>
        <family val="0"/>
        <charset val="1"/>
      </rPr>
      <t xml:space="preserve">22-26x</t>
    </r>
    <r>
      <rPr>
        <i val="true"/>
        <sz val="9"/>
        <color rgb="FF888888"/>
        <rFont val="Noto Sans CJK SC"/>
        <family val="2"/>
      </rPr>
      <t xml:space="preserve">），此組固定用現況</t>
    </r>
    <r>
      <rPr>
        <i val="true"/>
        <sz val="9"/>
        <color rgb="FF888888"/>
        <rFont val="Arial"/>
        <family val="0"/>
        <charset val="1"/>
      </rPr>
      <t xml:space="preserve">PE</t>
    </r>
    <r>
      <rPr>
        <i val="true"/>
        <sz val="9"/>
        <color rgb="FF888888"/>
        <rFont val="Noto Sans CJK SC"/>
        <family val="2"/>
      </rPr>
      <t xml:space="preserve">，隔離「純獲利成長」帶來的目標價，供交叉比對</t>
    </r>
  </si>
  <si>
    <t xml:space="preserve">年度</t>
  </si>
  <si>
    <r>
      <rPr>
        <b val="true"/>
        <sz val="10"/>
        <rFont val="Noto Sans CJK SC"/>
        <family val="2"/>
      </rPr>
      <t xml:space="preserve">現況</t>
    </r>
    <r>
      <rPr>
        <b val="true"/>
        <sz val="10"/>
        <rFont val="Arial"/>
        <family val="0"/>
        <charset val="1"/>
      </rPr>
      <t xml:space="preserve">PE</t>
    </r>
    <r>
      <rPr>
        <b val="true"/>
        <sz val="10"/>
        <rFont val="Noto Sans CJK SC"/>
        <family val="2"/>
      </rPr>
      <t xml:space="preserve">基準</t>
    </r>
  </si>
  <si>
    <t xml:space="preserve">目標價（不重評）</t>
  </si>
  <si>
    <t xml:space="preserve">隱含成長率檢核（現價反推）</t>
  </si>
  <si>
    <t xml:space="preserve">股價隱含年化成長率</t>
  </si>
  <si>
    <r>
      <rPr>
        <sz val="10"/>
        <color rgb="FF000000"/>
        <rFont val="Noto Sans CJK SC"/>
        <family val="2"/>
      </rPr>
      <t xml:space="preserve">隱含成長率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產業平均</t>
    </r>
  </si>
  <si>
    <t xml:space="preserve">判讀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</si>
</sst>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0"/>
    <numFmt numFmtId="167" formatCode="0.0%"/>
    <numFmt numFmtId="168" formatCode="0.00%"/>
    <numFmt numFmtId="169" formatCode="0.0\x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540"/>
      <name val="Noto Sans CJK SC"/>
      <family val="2"/>
    </font>
    <font>
      <b val="true"/>
      <sz val="14"/>
      <color rgb="FF1A2540"/>
      <name val="Arial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A2540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E4B5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E4B5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6" t="s">
        <v>12</v>
      </c>
      <c r="D6" s="4" t="s">
        <v>9</v>
      </c>
    </row>
    <row r="7" customFormat="false" ht="15" hidden="false" customHeight="false" outlineLevel="0" collapsed="false">
      <c r="A7" s="4" t="s">
        <v>13</v>
      </c>
      <c r="B7" s="5" t="s">
        <v>14</v>
      </c>
      <c r="C7" s="7" t="s">
        <v>15</v>
      </c>
      <c r="D7" s="4" t="s">
        <v>16</v>
      </c>
    </row>
    <row r="8" customFormat="false" ht="15" hidden="false" customHeight="false" outlineLevel="0" collapsed="false">
      <c r="A8" s="5" t="s">
        <v>17</v>
      </c>
      <c r="B8" s="5" t="s">
        <v>18</v>
      </c>
      <c r="C8" s="7" t="s">
        <v>19</v>
      </c>
      <c r="D8" s="4" t="s">
        <v>16</v>
      </c>
    </row>
    <row r="9" customFormat="false" ht="15" hidden="false" customHeight="false" outlineLevel="0" collapsed="false">
      <c r="A9" s="5" t="s">
        <v>20</v>
      </c>
      <c r="B9" s="5" t="s">
        <v>21</v>
      </c>
      <c r="C9" s="7" t="s">
        <v>22</v>
      </c>
      <c r="D9" s="4" t="s">
        <v>16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7" t="s">
        <v>25</v>
      </c>
      <c r="D10" s="5" t="s">
        <v>26</v>
      </c>
    </row>
    <row r="11" customFormat="false" ht="15" hidden="false" customHeight="false" outlineLevel="0" collapsed="false">
      <c r="A11" s="4" t="s">
        <v>27</v>
      </c>
      <c r="B11" s="5" t="s">
        <v>28</v>
      </c>
      <c r="C11" s="7" t="s">
        <v>29</v>
      </c>
      <c r="D11" s="4" t="s">
        <v>30</v>
      </c>
    </row>
    <row r="12" customFormat="false" ht="15" hidden="false" customHeight="false" outlineLevel="0" collapsed="false">
      <c r="A12" s="4" t="s">
        <v>31</v>
      </c>
      <c r="B12" s="5" t="s">
        <v>32</v>
      </c>
      <c r="C12" s="6" t="s">
        <v>33</v>
      </c>
      <c r="D12" s="4" t="s">
        <v>34</v>
      </c>
    </row>
    <row r="13" customFormat="false" ht="15" hidden="false" customHeight="false" outlineLevel="0" collapsed="false">
      <c r="A13" s="4" t="s">
        <v>35</v>
      </c>
      <c r="B13" s="5" t="s">
        <v>36</v>
      </c>
      <c r="C13" s="7" t="s">
        <v>37</v>
      </c>
      <c r="D13" s="4" t="s">
        <v>38</v>
      </c>
    </row>
    <row r="14" customFormat="false" ht="15" hidden="false" customHeight="false" outlineLevel="0" collapsed="false">
      <c r="A14" s="4" t="s">
        <v>39</v>
      </c>
      <c r="B14" s="5" t="s">
        <v>40</v>
      </c>
      <c r="C14" s="6" t="s">
        <v>41</v>
      </c>
      <c r="D14" s="4" t="s">
        <v>42</v>
      </c>
    </row>
    <row r="15" customFormat="false" ht="15" hidden="false" customHeight="false" outlineLevel="0" collapsed="false">
      <c r="A15" s="4" t="s">
        <v>43</v>
      </c>
      <c r="B15" s="5" t="s">
        <v>44</v>
      </c>
      <c r="C15" s="7" t="s">
        <v>45</v>
      </c>
      <c r="D15" s="4" t="s">
        <v>46</v>
      </c>
    </row>
    <row r="16" customFormat="false" ht="15" hidden="false" customHeight="false" outlineLevel="0" collapsed="false">
      <c r="A16" s="5" t="s">
        <v>47</v>
      </c>
      <c r="B16" s="4" t="s">
        <v>48</v>
      </c>
      <c r="C16" s="7" t="s">
        <v>49</v>
      </c>
      <c r="D16" s="5" t="s">
        <v>50</v>
      </c>
    </row>
    <row r="17" customFormat="false" ht="15" hidden="false" customHeight="false" outlineLevel="0" collapsed="false">
      <c r="A17" s="4" t="s">
        <v>51</v>
      </c>
      <c r="B17" s="4" t="s">
        <v>52</v>
      </c>
      <c r="C17" s="7" t="s">
        <v>53</v>
      </c>
      <c r="D17" s="4" t="s">
        <v>54</v>
      </c>
    </row>
    <row r="18" customFormat="false" ht="15" hidden="false" customHeight="false" outlineLevel="0" collapsed="false">
      <c r="A18" s="4" t="s">
        <v>55</v>
      </c>
      <c r="B18" s="5" t="s">
        <v>56</v>
      </c>
      <c r="C18" s="7" t="s">
        <v>57</v>
      </c>
      <c r="D18" s="4" t="s">
        <v>58</v>
      </c>
    </row>
    <row r="19" customFormat="false" ht="15" hidden="false" customHeight="false" outlineLevel="0" collapsed="false">
      <c r="A19" s="4" t="s">
        <v>59</v>
      </c>
      <c r="B19" s="5" t="s">
        <v>60</v>
      </c>
      <c r="C19" s="7" t="s">
        <v>61</v>
      </c>
      <c r="D19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21.6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8" t="s">
        <v>65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4" t="s">
        <v>66</v>
      </c>
      <c r="B5" s="9" t="n">
        <v>385</v>
      </c>
      <c r="C5" s="2" t="s">
        <v>67</v>
      </c>
    </row>
    <row r="6" customFormat="false" ht="15" hidden="false" customHeight="false" outlineLevel="0" collapsed="false">
      <c r="A6" s="4" t="s">
        <v>68</v>
      </c>
      <c r="B6" s="10" t="n">
        <v>3.6347</v>
      </c>
      <c r="C6" s="2" t="s">
        <v>69</v>
      </c>
    </row>
    <row r="7" customFormat="false" ht="15" hidden="false" customHeight="false" outlineLevel="0" collapsed="false">
      <c r="A7" s="4" t="s">
        <v>70</v>
      </c>
      <c r="B7" s="11" t="s">
        <v>71</v>
      </c>
    </row>
    <row r="8" customFormat="false" ht="15" hidden="false" customHeight="false" outlineLevel="0" collapsed="false">
      <c r="A8" s="4" t="s">
        <v>72</v>
      </c>
      <c r="B8" s="10" t="n">
        <v>4.16</v>
      </c>
      <c r="C8" s="2" t="s">
        <v>73</v>
      </c>
    </row>
    <row r="10" customFormat="false" ht="15" hidden="false" customHeight="false" outlineLevel="0" collapsed="false">
      <c r="A10" s="8" t="s">
        <v>74</v>
      </c>
      <c r="B10" s="8"/>
      <c r="C10" s="8"/>
      <c r="D10" s="8"/>
      <c r="E10" s="8"/>
      <c r="F10" s="8"/>
    </row>
    <row r="11" customFormat="false" ht="15" hidden="false" customHeight="false" outlineLevel="0" collapsed="false">
      <c r="A11" s="3" t="s">
        <v>75</v>
      </c>
      <c r="B11" s="12" t="s">
        <v>76</v>
      </c>
      <c r="C11" s="12" t="s">
        <v>77</v>
      </c>
      <c r="D11" s="12" t="s">
        <v>78</v>
      </c>
      <c r="E11" s="12" t="s">
        <v>79</v>
      </c>
      <c r="F11" s="3" t="s">
        <v>80</v>
      </c>
    </row>
    <row r="12" customFormat="false" ht="15" hidden="false" customHeight="false" outlineLevel="0" collapsed="false">
      <c r="A12" s="4" t="s">
        <v>81</v>
      </c>
      <c r="B12" s="9" t="n">
        <v>236.65</v>
      </c>
      <c r="C12" s="13" t="n">
        <v>0.3</v>
      </c>
      <c r="D12" s="13" t="n">
        <v>0.15</v>
      </c>
      <c r="E12" s="13" t="n">
        <v>0.05</v>
      </c>
      <c r="F12" s="2" t="s">
        <v>82</v>
      </c>
    </row>
    <row r="13" customFormat="false" ht="15" hidden="false" customHeight="false" outlineLevel="0" collapsed="false">
      <c r="A13" s="5" t="s">
        <v>83</v>
      </c>
      <c r="B13" s="9" t="n">
        <v>72.82</v>
      </c>
      <c r="C13" s="13" t="n">
        <v>0.5</v>
      </c>
      <c r="D13" s="13" t="n">
        <v>0.18</v>
      </c>
      <c r="E13" s="13" t="n">
        <v>0.1</v>
      </c>
      <c r="F13" s="2" t="s">
        <v>84</v>
      </c>
    </row>
    <row r="14" customFormat="false" ht="15" hidden="false" customHeight="false" outlineLevel="0" collapsed="false">
      <c r="A14" s="5" t="s">
        <v>85</v>
      </c>
      <c r="B14" s="9" t="n">
        <v>21.51</v>
      </c>
      <c r="C14" s="13" t="n">
        <v>3.332</v>
      </c>
      <c r="D14" s="13" t="n">
        <v>1.69</v>
      </c>
      <c r="E14" s="13" t="n">
        <v>0.52</v>
      </c>
      <c r="F14" s="2" t="s">
        <v>86</v>
      </c>
    </row>
    <row r="16" customFormat="false" ht="15" hidden="false" customHeight="false" outlineLevel="0" collapsed="false">
      <c r="A16" s="8" t="s">
        <v>87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3" t="s">
        <v>88</v>
      </c>
      <c r="B17" s="12" t="s">
        <v>89</v>
      </c>
      <c r="C17" s="12" t="s">
        <v>90</v>
      </c>
      <c r="D17" s="12" t="s">
        <v>91</v>
      </c>
      <c r="E17" s="3" t="s">
        <v>80</v>
      </c>
    </row>
    <row r="18" customFormat="false" ht="15" hidden="false" customHeight="false" outlineLevel="0" collapsed="false">
      <c r="A18" s="4" t="s">
        <v>92</v>
      </c>
      <c r="B18" s="14" t="n">
        <v>0.23</v>
      </c>
      <c r="C18" s="14" t="n">
        <v>0.27</v>
      </c>
      <c r="D18" s="14" t="n">
        <v>0.3</v>
      </c>
      <c r="E18" s="2" t="s">
        <v>93</v>
      </c>
    </row>
    <row r="19" customFormat="false" ht="15" hidden="false" customHeight="false" outlineLevel="0" collapsed="false">
      <c r="A19" s="4" t="s">
        <v>94</v>
      </c>
      <c r="B19" s="14" t="n">
        <v>0.0776</v>
      </c>
      <c r="C19" s="14" t="n">
        <v>0.0906</v>
      </c>
      <c r="D19" s="14" t="n">
        <v>0.082</v>
      </c>
      <c r="E19" s="2" t="s">
        <v>95</v>
      </c>
    </row>
    <row r="20" customFormat="false" ht="15" hidden="false" customHeight="false" outlineLevel="0" collapsed="false">
      <c r="A20" s="4" t="s">
        <v>96</v>
      </c>
      <c r="B20" s="14" t="n">
        <v>0.003</v>
      </c>
      <c r="C20" s="14" t="n">
        <v>0.003</v>
      </c>
      <c r="D20" s="14" t="n">
        <v>0.003</v>
      </c>
      <c r="E20" s="2" t="s">
        <v>97</v>
      </c>
    </row>
    <row r="21" customFormat="false" ht="15" hidden="false" customHeight="false" outlineLevel="0" collapsed="false">
      <c r="A21" s="4" t="s">
        <v>98</v>
      </c>
      <c r="B21" s="13" t="n">
        <v>0.35</v>
      </c>
      <c r="C21" s="13" t="n">
        <v>0.3</v>
      </c>
      <c r="D21" s="13" t="n">
        <v>0.25</v>
      </c>
      <c r="E21" s="2" t="s">
        <v>99</v>
      </c>
    </row>
    <row r="23" customFormat="false" ht="15" hidden="false" customHeight="false" outlineLevel="0" collapsed="false">
      <c r="A23" s="8" t="s">
        <v>100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4" t="s">
        <v>101</v>
      </c>
      <c r="B24" s="15" t="n">
        <v>25</v>
      </c>
      <c r="C24" s="2" t="s">
        <v>102</v>
      </c>
    </row>
    <row r="25" customFormat="false" ht="15" hidden="false" customHeight="false" outlineLevel="0" collapsed="false">
      <c r="A25" s="4" t="s">
        <v>103</v>
      </c>
      <c r="B25" s="15" t="n">
        <v>30</v>
      </c>
    </row>
    <row r="26" customFormat="false" ht="15" hidden="false" customHeight="false" outlineLevel="0" collapsed="false">
      <c r="A26" s="4" t="s">
        <v>104</v>
      </c>
      <c r="B26" s="15" t="n">
        <v>27</v>
      </c>
    </row>
    <row r="27" customFormat="false" ht="15" hidden="false" customHeight="false" outlineLevel="0" collapsed="false">
      <c r="A27" s="4" t="s">
        <v>105</v>
      </c>
      <c r="B27" s="16" t="n">
        <v>2</v>
      </c>
    </row>
    <row r="28" customFormat="false" ht="15" hidden="false" customHeight="false" outlineLevel="0" collapsed="false">
      <c r="A28" s="4" t="s">
        <v>106</v>
      </c>
      <c r="B28" s="13" t="n">
        <v>0.2</v>
      </c>
      <c r="C28" s="2" t="s">
        <v>107</v>
      </c>
    </row>
    <row r="29" customFormat="false" ht="15" hidden="false" customHeight="false" outlineLevel="0" collapsed="false">
      <c r="A29" s="4" t="s">
        <v>108</v>
      </c>
      <c r="B29" s="15" t="n">
        <v>94.13</v>
      </c>
      <c r="C29" s="2" t="s">
        <v>109</v>
      </c>
    </row>
    <row r="31" customFormat="false" ht="15" hidden="false" customHeight="false" outlineLevel="0" collapsed="false">
      <c r="A31" s="8" t="s">
        <v>110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3" t="s">
        <v>111</v>
      </c>
      <c r="B32" s="3" t="s">
        <v>112</v>
      </c>
      <c r="C32" s="3" t="s">
        <v>113</v>
      </c>
      <c r="D32" s="3" t="s">
        <v>114</v>
      </c>
      <c r="E32" s="3" t="s">
        <v>115</v>
      </c>
      <c r="F32" s="3" t="s">
        <v>116</v>
      </c>
    </row>
    <row r="33" customFormat="false" ht="15" hidden="false" customHeight="false" outlineLevel="0" collapsed="false">
      <c r="A33" s="4" t="s">
        <v>117</v>
      </c>
      <c r="B33" s="13" t="n">
        <v>0.25</v>
      </c>
      <c r="C33" s="13" t="n">
        <v>0.1</v>
      </c>
      <c r="D33" s="14" t="n">
        <v>0.02</v>
      </c>
      <c r="E33" s="15" t="n">
        <v>32</v>
      </c>
      <c r="F33" s="17" t="s">
        <v>118</v>
      </c>
    </row>
    <row r="34" customFormat="false" ht="15" hidden="false" customHeight="false" outlineLevel="0" collapsed="false">
      <c r="A34" s="4" t="s">
        <v>119</v>
      </c>
      <c r="B34" s="13" t="n">
        <v>0.4</v>
      </c>
      <c r="C34" s="13" t="n">
        <v>0</v>
      </c>
      <c r="D34" s="14" t="n">
        <v>0</v>
      </c>
      <c r="E34" s="15" t="n">
        <v>27</v>
      </c>
      <c r="F34" s="17" t="s">
        <v>120</v>
      </c>
    </row>
    <row r="35" customFormat="false" ht="15" hidden="false" customHeight="false" outlineLevel="0" collapsed="false">
      <c r="A35" s="4" t="s">
        <v>121</v>
      </c>
      <c r="B35" s="13" t="n">
        <v>0.2</v>
      </c>
      <c r="C35" s="13" t="n">
        <v>-0.3</v>
      </c>
      <c r="D35" s="14" t="n">
        <v>-0.04</v>
      </c>
      <c r="E35" s="15" t="n">
        <v>20</v>
      </c>
      <c r="F35" s="17" t="s">
        <v>122</v>
      </c>
    </row>
    <row r="36" customFormat="false" ht="15" hidden="false" customHeight="false" outlineLevel="0" collapsed="false">
      <c r="A36" s="4" t="s">
        <v>123</v>
      </c>
      <c r="B36" s="13" t="n">
        <v>0.15</v>
      </c>
      <c r="C36" s="13" t="n">
        <v>-0.637</v>
      </c>
      <c r="D36" s="14" t="n">
        <v>-0.03</v>
      </c>
      <c r="E36" s="15" t="n">
        <v>16</v>
      </c>
      <c r="F36" s="17" t="s">
        <v>124</v>
      </c>
    </row>
  </sheetData>
  <mergeCells count="5">
    <mergeCell ref="A4:F4"/>
    <mergeCell ref="A10:F10"/>
    <mergeCell ref="A16:F16"/>
    <mergeCell ref="A23:F23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21.6" hidden="false" customHeight="false" outlineLevel="0" collapsed="false">
      <c r="A1" s="18" t="s">
        <v>125</v>
      </c>
    </row>
    <row r="3" customFormat="false" ht="15" hidden="false" customHeight="false" outlineLevel="0" collapsed="false">
      <c r="A3" s="3" t="s">
        <v>88</v>
      </c>
      <c r="B3" s="19" t="s">
        <v>126</v>
      </c>
      <c r="C3" s="19" t="s">
        <v>127</v>
      </c>
      <c r="D3" s="19" t="s">
        <v>128</v>
      </c>
      <c r="E3" s="19" t="s">
        <v>129</v>
      </c>
    </row>
    <row r="4" customFormat="false" ht="15" hidden="false" customHeight="false" outlineLevel="0" collapsed="false">
      <c r="A4" s="4" t="s">
        <v>130</v>
      </c>
      <c r="B4" s="20" t="n">
        <f aca="false">'1_輸入區'!B12</f>
        <v>236.65</v>
      </c>
      <c r="C4" s="21" t="n">
        <f aca="false">B4*(1+'1_輸入區'!C12)</f>
        <v>307.645</v>
      </c>
      <c r="D4" s="21" t="n">
        <f aca="false">C4*(1+'1_輸入區'!D12)</f>
        <v>353.79175</v>
      </c>
      <c r="E4" s="21" t="n">
        <f aca="false">D4*(1+'1_輸入區'!E12)</f>
        <v>371.4813375</v>
      </c>
    </row>
    <row r="5" customFormat="false" ht="15" hidden="false" customHeight="false" outlineLevel="0" collapsed="false">
      <c r="A5" s="5" t="s">
        <v>131</v>
      </c>
      <c r="B5" s="20" t="n">
        <f aca="false">'1_輸入區'!B13</f>
        <v>72.82</v>
      </c>
      <c r="C5" s="21" t="n">
        <f aca="false">B5*(1+'1_輸入區'!C13)</f>
        <v>109.23</v>
      </c>
      <c r="D5" s="21" t="n">
        <f aca="false">C5*(1+'1_輸入區'!D13)</f>
        <v>128.8914</v>
      </c>
      <c r="E5" s="21" t="n">
        <f aca="false">D5*(1+'1_輸入區'!E13)</f>
        <v>141.78054</v>
      </c>
    </row>
    <row r="6" customFormat="false" ht="15" hidden="false" customHeight="false" outlineLevel="0" collapsed="false">
      <c r="A6" s="5" t="s">
        <v>132</v>
      </c>
      <c r="B6" s="20" t="n">
        <f aca="false">'1_輸入區'!B14</f>
        <v>21.51</v>
      </c>
      <c r="C6" s="21" t="n">
        <f aca="false">B6*(1+'1_輸入區'!C14)</f>
        <v>93.18132</v>
      </c>
      <c r="D6" s="21" t="n">
        <f aca="false">C6*(1+'1_輸入區'!D14)</f>
        <v>250.6577508</v>
      </c>
      <c r="E6" s="21" t="n">
        <f aca="false">D6*(1+'1_輸入區'!E14)</f>
        <v>380.999781216</v>
      </c>
    </row>
    <row r="7" customFormat="false" ht="15" hidden="false" customHeight="false" outlineLevel="0" collapsed="false">
      <c r="A7" s="22" t="s">
        <v>133</v>
      </c>
      <c r="B7" s="23" t="n">
        <f aca="false">SUM(B4:B6)</f>
        <v>330.98</v>
      </c>
      <c r="C7" s="23" t="n">
        <f aca="false">SUM(C4:C6)</f>
        <v>510.05632</v>
      </c>
      <c r="D7" s="23" t="n">
        <f aca="false">SUM(D4:D6)</f>
        <v>733.3409008</v>
      </c>
      <c r="E7" s="23" t="n">
        <f aca="false">SUM(E4:E6)</f>
        <v>894.261658716</v>
      </c>
    </row>
    <row r="8" customFormat="false" ht="15" hidden="false" customHeight="false" outlineLevel="0" collapsed="false">
      <c r="A8" s="4" t="s">
        <v>92</v>
      </c>
      <c r="B8" s="11" t="s">
        <v>134</v>
      </c>
      <c r="C8" s="24" t="n">
        <f aca="false">'1_輸入區'!B18</f>
        <v>0.23</v>
      </c>
      <c r="D8" s="24" t="n">
        <f aca="false">'1_輸入區'!C18</f>
        <v>0.27</v>
      </c>
      <c r="E8" s="24" t="n">
        <f aca="false">'1_輸入區'!D18</f>
        <v>0.3</v>
      </c>
    </row>
    <row r="9" customFormat="false" ht="15" hidden="false" customHeight="false" outlineLevel="0" collapsed="false">
      <c r="A9" s="4" t="s">
        <v>135</v>
      </c>
      <c r="B9" s="11" t="s">
        <v>134</v>
      </c>
      <c r="C9" s="21" t="n">
        <f aca="false">C7*C8</f>
        <v>117.3129536</v>
      </c>
      <c r="D9" s="21" t="n">
        <f aca="false">D7*D8</f>
        <v>198.002043216</v>
      </c>
      <c r="E9" s="21" t="n">
        <f aca="false">E7*E8</f>
        <v>268.2784976148</v>
      </c>
    </row>
    <row r="10" customFormat="false" ht="15" hidden="false" customHeight="false" outlineLevel="0" collapsed="false">
      <c r="A10" s="4" t="s">
        <v>94</v>
      </c>
      <c r="B10" s="11" t="s">
        <v>134</v>
      </c>
      <c r="C10" s="24" t="n">
        <f aca="false">'1_輸入區'!B19</f>
        <v>0.0776</v>
      </c>
      <c r="D10" s="24" t="n">
        <f aca="false">'1_輸入區'!C19</f>
        <v>0.0906</v>
      </c>
      <c r="E10" s="24" t="n">
        <f aca="false">'1_輸入區'!D19</f>
        <v>0.082</v>
      </c>
    </row>
    <row r="11" customFormat="false" ht="15" hidden="false" customHeight="false" outlineLevel="0" collapsed="false">
      <c r="A11" s="4" t="s">
        <v>136</v>
      </c>
      <c r="B11" s="11" t="s">
        <v>134</v>
      </c>
      <c r="C11" s="21" t="n">
        <f aca="false">C9-C7*C10</f>
        <v>77.732583168</v>
      </c>
      <c r="D11" s="21" t="n">
        <f aca="false">D9-D7*D10</f>
        <v>131.56135760352</v>
      </c>
      <c r="E11" s="21" t="n">
        <f aca="false">E9-E7*E10</f>
        <v>194.949041600088</v>
      </c>
    </row>
    <row r="12" customFormat="false" ht="15" hidden="false" customHeight="false" outlineLevel="0" collapsed="false">
      <c r="A12" s="4" t="s">
        <v>137</v>
      </c>
      <c r="B12" s="11" t="s">
        <v>134</v>
      </c>
      <c r="C12" s="24" t="n">
        <f aca="false">'1_輸入區'!B20</f>
        <v>0.003</v>
      </c>
      <c r="D12" s="24" t="n">
        <f aca="false">'1_輸入區'!C20</f>
        <v>0.003</v>
      </c>
      <c r="E12" s="24" t="n">
        <f aca="false">'1_輸入區'!D20</f>
        <v>0.003</v>
      </c>
    </row>
    <row r="13" customFormat="false" ht="15" hidden="false" customHeight="false" outlineLevel="0" collapsed="false">
      <c r="A13" s="4" t="s">
        <v>138</v>
      </c>
      <c r="B13" s="11" t="s">
        <v>134</v>
      </c>
      <c r="C13" s="21" t="n">
        <f aca="false">C11+C7*C12</f>
        <v>79.262752128</v>
      </c>
      <c r="D13" s="21" t="n">
        <f aca="false">D11+D7*D12</f>
        <v>133.76138030592</v>
      </c>
      <c r="E13" s="21" t="n">
        <f aca="false">E11+E7*E12</f>
        <v>197.631826576236</v>
      </c>
    </row>
    <row r="14" customFormat="false" ht="15" hidden="false" customHeight="false" outlineLevel="0" collapsed="false">
      <c r="A14" s="4" t="s">
        <v>98</v>
      </c>
      <c r="B14" s="11" t="s">
        <v>134</v>
      </c>
      <c r="C14" s="25" t="n">
        <f aca="false">'1_輸入區'!B21</f>
        <v>0.35</v>
      </c>
      <c r="D14" s="25" t="n">
        <f aca="false">'1_輸入區'!C21</f>
        <v>0.3</v>
      </c>
      <c r="E14" s="25" t="n">
        <f aca="false">'1_輸入區'!D21</f>
        <v>0.25</v>
      </c>
    </row>
    <row r="15" customFormat="false" ht="15" hidden="false" customHeight="false" outlineLevel="0" collapsed="false">
      <c r="A15" s="22" t="s">
        <v>139</v>
      </c>
      <c r="B15" s="11" t="s">
        <v>134</v>
      </c>
      <c r="C15" s="23" t="n">
        <f aca="false">C13*(1-C14)</f>
        <v>51.5207888832</v>
      </c>
      <c r="D15" s="23" t="n">
        <f aca="false">D13*(1-D14)</f>
        <v>93.632966214144</v>
      </c>
      <c r="E15" s="23" t="n">
        <f aca="false">E13*(1-E14)</f>
        <v>148.223869932177</v>
      </c>
    </row>
    <row r="16" customFormat="false" ht="15" hidden="false" customHeight="false" outlineLevel="0" collapsed="false">
      <c r="A16" s="26" t="s">
        <v>140</v>
      </c>
      <c r="B16" s="27" t="n">
        <f aca="false">'1_輸入區'!$B$8</f>
        <v>4.16</v>
      </c>
      <c r="C16" s="28" t="n">
        <f aca="false">C15/'1_輸入區'!$B$6</f>
        <v>14.1747018689851</v>
      </c>
      <c r="D16" s="28" t="n">
        <f aca="false">D15/'1_輸入區'!$B$6</f>
        <v>25.7608512983586</v>
      </c>
      <c r="E16" s="28" t="n">
        <f aca="false">E15/'1_輸入區'!$B$6</f>
        <v>40.7802211825397</v>
      </c>
    </row>
    <row r="18" customFormat="false" ht="15" hidden="false" customHeight="false" outlineLevel="0" collapsed="false">
      <c r="A18" s="4" t="s">
        <v>141</v>
      </c>
      <c r="C18" s="21" t="n">
        <f aca="false">C16*'1_輸入區'!$B$24</f>
        <v>354.367546724627</v>
      </c>
      <c r="D18" s="21" t="n">
        <f aca="false">D16*'1_輸入區'!$B$24</f>
        <v>644.021282458965</v>
      </c>
      <c r="E18" s="21" t="n">
        <f aca="false">E16*'1_輸入區'!$B$24</f>
        <v>1019.50552956349</v>
      </c>
    </row>
    <row r="19" customFormat="false" ht="15" hidden="false" customHeight="false" outlineLevel="0" collapsed="false">
      <c r="A19" s="4" t="s">
        <v>142</v>
      </c>
      <c r="C19" s="21" t="n">
        <f aca="false">C16*'1_輸入區'!$B$25</f>
        <v>425.241056069552</v>
      </c>
      <c r="D19" s="21" t="n">
        <f aca="false">D16*'1_輸入區'!$B$25</f>
        <v>772.825538950758</v>
      </c>
      <c r="E19" s="21" t="n">
        <f aca="false">E16*'1_輸入區'!$B$25</f>
        <v>1223.40663547619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143</v>
      </c>
    </row>
    <row r="3" customFormat="false" ht="17.15" hidden="false" customHeight="false" outlineLevel="0" collapsed="false">
      <c r="A3" s="8" t="s">
        <v>144</v>
      </c>
      <c r="B3" s="8"/>
      <c r="C3" s="8"/>
      <c r="D3" s="8"/>
      <c r="E3" s="8"/>
      <c r="F3" s="8"/>
      <c r="G3" s="8"/>
      <c r="H3" s="8"/>
    </row>
    <row r="5" customFormat="false" ht="15" hidden="false" customHeight="false" outlineLevel="0" collapsed="false">
      <c r="A5" s="29" t="s">
        <v>145</v>
      </c>
      <c r="B5" s="30" t="n">
        <f aca="false">'1_輸入區'!D18+-0.05</f>
        <v>0.25</v>
      </c>
      <c r="C5" s="30" t="n">
        <f aca="false">'1_輸入區'!D18+-0.03</f>
        <v>0.27</v>
      </c>
      <c r="D5" s="30" t="n">
        <f aca="false">'1_輸入區'!D18+-0.015</f>
        <v>0.285</v>
      </c>
      <c r="E5" s="30" t="n">
        <f aca="false">'1_輸入區'!D18+0</f>
        <v>0.3</v>
      </c>
      <c r="F5" s="30" t="n">
        <f aca="false">'1_輸入區'!D18+0.015</f>
        <v>0.315</v>
      </c>
      <c r="G5" s="30" t="n">
        <f aca="false">'1_輸入區'!D18+0.03</f>
        <v>0.33</v>
      </c>
      <c r="H5" s="30" t="n">
        <f aca="false">'1_輸入區'!D18+0.05</f>
        <v>0.35</v>
      </c>
    </row>
    <row r="6" customFormat="false" ht="15" hidden="false" customHeight="false" outlineLevel="0" collapsed="false">
      <c r="A6" s="31" t="n">
        <f aca="false">SUMPRODUCT('1_輸入區'!B12:B14,'1_輸入區'!E12:E14)/SUM('1_輸入區'!B12:B14)+-0.15</f>
        <v>-0.0584545894011723</v>
      </c>
      <c r="B6" s="32" t="n">
        <f aca="false">('2_EPS計算'!E7*(1+-0.15)*(('1_輸入區'!D18+-0.05)-'1_輸入區'!D19)*(1+'1_輸入區'!D20)*(1-'1_輸入區'!D21))/'1_輸入區'!$B$6</f>
        <v>26.4293476543949</v>
      </c>
      <c r="C6" s="32" t="n">
        <f aca="false">('2_EPS計算'!E7*(1+-0.15)*(('1_輸入區'!D18+-0.03)-'1_輸入區'!D19)*(1+'1_輸入區'!D20)*(1-'1_輸入區'!D21))/'1_輸入區'!$B$6</f>
        <v>29.5756985656324</v>
      </c>
      <c r="D6" s="32" t="n">
        <f aca="false">('2_EPS計算'!E7*(1+-0.15)*(('1_輸入區'!D18+-0.015)-'1_輸入區'!D19)*(1+'1_輸入區'!D20)*(1-'1_輸入區'!D21))/'1_輸入區'!$B$6</f>
        <v>31.9354617490605</v>
      </c>
      <c r="E6" s="32" t="n">
        <f aca="false">('2_EPS計算'!E7*(1+-0.15)*(('1_輸入區'!D18+0)-'1_輸入區'!D19)*(1+'1_輸入區'!D20)*(1-'1_輸入區'!D21))/'1_輸入區'!$B$6</f>
        <v>34.2952249324886</v>
      </c>
      <c r="F6" s="32" t="n">
        <f aca="false">('2_EPS計算'!E7*(1+-0.15)*(('1_輸入區'!D18+0.015)-'1_輸入區'!D19)*(1+'1_輸入區'!D20)*(1-'1_輸入區'!D21))/'1_輸入區'!$B$6</f>
        <v>36.6549881159167</v>
      </c>
      <c r="G6" s="32" t="n">
        <f aca="false">('2_EPS計算'!E7*(1+-0.15)*(('1_輸入區'!D18+0.03)-'1_輸入區'!D19)*(1+'1_輸入區'!D20)*(1-'1_輸入區'!D21))/'1_輸入區'!$B$6</f>
        <v>39.0147512993448</v>
      </c>
      <c r="H6" s="32" t="n">
        <f aca="false">('2_EPS計算'!E7*(1+-0.15)*(('1_輸入區'!D18+0.05)-'1_輸入區'!D19)*(1+'1_輸入區'!D20)*(1-'1_輸入區'!D21))/'1_輸入區'!$B$6</f>
        <v>42.1611022105823</v>
      </c>
    </row>
    <row r="7" customFormat="false" ht="15" hidden="false" customHeight="false" outlineLevel="0" collapsed="false">
      <c r="A7" s="31" t="n">
        <f aca="false">SUMPRODUCT('1_輸入區'!B12:B14,'1_輸入區'!E12:E14)/SUM('1_輸入區'!B12:B14)+-0.1</f>
        <v>-0.00845458940117229</v>
      </c>
      <c r="B7" s="32" t="n">
        <f aca="false">('2_EPS計算'!E7*(1+-0.1)*(('1_輸入區'!D18+-0.05)-'1_輸入區'!D19)*(1+'1_輸入區'!D20)*(1-'1_輸入區'!D21))/'1_輸入區'!$B$6</f>
        <v>27.9840151634769</v>
      </c>
      <c r="C7" s="32" t="n">
        <f aca="false">('2_EPS計算'!E7*(1+-0.1)*(('1_輸入區'!D18+-0.03)-'1_輸入區'!D19)*(1+'1_輸入區'!D20)*(1-'1_輸入區'!D21))/'1_輸入區'!$B$6</f>
        <v>31.3154455400813</v>
      </c>
      <c r="D7" s="32" t="n">
        <f aca="false">('2_EPS計算'!E7*(1+-0.1)*(('1_輸入區'!D18+-0.015)-'1_輸入區'!D19)*(1+'1_輸入區'!D20)*(1-'1_輸入區'!D21))/'1_輸入區'!$B$6</f>
        <v>33.8140183225346</v>
      </c>
      <c r="E7" s="32" t="n">
        <f aca="false">('2_EPS計算'!E7*(1+-0.1)*(('1_輸入區'!D18+0)-'1_輸入區'!D19)*(1+'1_輸入區'!D20)*(1-'1_輸入區'!D21))/'1_輸入區'!$B$6</f>
        <v>36.3125911049879</v>
      </c>
      <c r="F7" s="32" t="n">
        <f aca="false">('2_EPS計算'!E7*(1+-0.1)*(('1_輸入區'!D18+0.015)-'1_輸入區'!D19)*(1+'1_輸入區'!D20)*(1-'1_輸入區'!D21))/'1_輸入區'!$B$6</f>
        <v>38.8111638874412</v>
      </c>
      <c r="G7" s="32" t="n">
        <f aca="false">('2_EPS計算'!E7*(1+-0.1)*(('1_輸入區'!D18+0.03)-'1_輸入區'!D19)*(1+'1_輸入區'!D20)*(1-'1_輸入區'!D21))/'1_輸入區'!$B$6</f>
        <v>41.3097366698945</v>
      </c>
      <c r="H7" s="32" t="n">
        <f aca="false">('2_EPS計算'!E7*(1+-0.1)*(('1_輸入區'!D18+0.05)-'1_輸入區'!D19)*(1+'1_輸入區'!D20)*(1-'1_輸入區'!D21))/'1_輸入區'!$B$6</f>
        <v>44.6411670464989</v>
      </c>
    </row>
    <row r="8" customFormat="false" ht="15" hidden="false" customHeight="false" outlineLevel="0" collapsed="false">
      <c r="A8" s="31" t="n">
        <f aca="false">SUMPRODUCT('1_輸入區'!B12:B14,'1_輸入區'!E12:E14)/SUM('1_輸入區'!B12:B14)+-0.05</f>
        <v>0.0415454105988277</v>
      </c>
      <c r="B8" s="32" t="n">
        <f aca="false">('2_EPS計算'!E7*(1+-0.05)*(('1_輸入區'!D18+-0.05)-'1_輸入區'!D19)*(1+'1_輸入區'!D20)*(1-'1_輸入區'!D21))/'1_輸入區'!$B$6</f>
        <v>29.538682672559</v>
      </c>
      <c r="C8" s="32" t="n">
        <f aca="false">('2_EPS計算'!E7*(1+-0.05)*(('1_輸入區'!D18+-0.03)-'1_輸入區'!D19)*(1+'1_輸入區'!D20)*(1-'1_輸入區'!D21))/'1_輸入區'!$B$6</f>
        <v>33.0551925145303</v>
      </c>
      <c r="D8" s="32" t="n">
        <f aca="false">('2_EPS計算'!E7*(1+-0.05)*(('1_輸入區'!D18+-0.015)-'1_輸入區'!D19)*(1+'1_輸入區'!D20)*(1-'1_輸入區'!D21))/'1_輸入區'!$B$6</f>
        <v>35.6925748960088</v>
      </c>
      <c r="E8" s="32" t="n">
        <f aca="false">('2_EPS計算'!E7*(1+-0.05)*(('1_輸入區'!D18+0)-'1_輸入區'!D19)*(1+'1_輸入區'!D20)*(1-'1_輸入區'!D21))/'1_輸入區'!$B$6</f>
        <v>38.3299572774872</v>
      </c>
      <c r="F8" s="32" t="n">
        <f aca="false">('2_EPS計算'!E7*(1+-0.05)*(('1_輸入區'!D18+0.015)-'1_輸入區'!D19)*(1+'1_輸入區'!D20)*(1-'1_輸入區'!D21))/'1_輸入區'!$B$6</f>
        <v>40.9673396589657</v>
      </c>
      <c r="G8" s="32" t="n">
        <f aca="false">('2_EPS計算'!E7*(1+-0.05)*(('1_輸入區'!D18+0.03)-'1_輸入區'!D19)*(1+'1_輸入區'!D20)*(1-'1_輸入區'!D21))/'1_輸入區'!$B$6</f>
        <v>43.6047220404442</v>
      </c>
      <c r="H8" s="32" t="n">
        <f aca="false">('2_EPS計算'!E7*(1+-0.05)*(('1_輸入區'!D18+0.05)-'1_輸入區'!D19)*(1+'1_輸入區'!D20)*(1-'1_輸入區'!D21))/'1_輸入區'!$B$6</f>
        <v>47.1212318824155</v>
      </c>
    </row>
    <row r="9" customFormat="false" ht="15" hidden="false" customHeight="false" outlineLevel="0" collapsed="false">
      <c r="A9" s="31" t="n">
        <f aca="false">SUMPRODUCT('1_輸入區'!B12:B14,'1_輸入區'!E12:E14)/SUM('1_輸入區'!B12:B14)+0</f>
        <v>0.0915454105988277</v>
      </c>
      <c r="B9" s="32" t="n">
        <f aca="false">('2_EPS計算'!E7*(1+0)*(('1_輸入區'!D18+-0.05)-'1_輸入區'!D19)*(1+'1_輸入區'!D20)*(1-'1_輸入區'!D21))/'1_輸入區'!$B$6</f>
        <v>31.093350181641</v>
      </c>
      <c r="C9" s="32" t="n">
        <f aca="false">('2_EPS計算'!E7*(1+0)*(('1_輸入區'!D18+-0.03)-'1_輸入區'!D19)*(1+'1_輸入區'!D20)*(1-'1_輸入區'!D21))/'1_輸入區'!$B$6</f>
        <v>34.7949394889792</v>
      </c>
      <c r="D9" s="32" t="n">
        <f aca="false">('2_EPS計算'!E7*(1+0)*(('1_輸入區'!D18+-0.015)-'1_輸入區'!D19)*(1+'1_輸入區'!D20)*(1-'1_輸入區'!D21))/'1_輸入區'!$B$6</f>
        <v>37.5711314694829</v>
      </c>
      <c r="E9" s="32" t="n">
        <f aca="false">('2_EPS計算'!E7*(1+0)*(('1_輸入區'!D18+0)-'1_輸入區'!D19)*(1+'1_輸入區'!D20)*(1-'1_輸入區'!D21))/'1_輸入區'!$B$6</f>
        <v>40.3473234499866</v>
      </c>
      <c r="F9" s="32" t="n">
        <f aca="false">('2_EPS計算'!E7*(1+0)*(('1_輸入區'!D18+0.015)-'1_輸入區'!D19)*(1+'1_輸入區'!D20)*(1-'1_輸入區'!D21))/'1_輸入區'!$B$6</f>
        <v>43.1235154304902</v>
      </c>
      <c r="G9" s="32" t="n">
        <f aca="false">('2_EPS計算'!E7*(1+0)*(('1_輸入區'!D18+0.03)-'1_輸入區'!D19)*(1+'1_輸入區'!D20)*(1-'1_輸入區'!D21))/'1_輸入區'!$B$6</f>
        <v>45.8997074109939</v>
      </c>
      <c r="H9" s="32" t="n">
        <f aca="false">('2_EPS計算'!E7*(1+0)*(('1_輸入區'!D18+0.05)-'1_輸入區'!D19)*(1+'1_輸入區'!D20)*(1-'1_輸入區'!D21))/'1_輸入區'!$B$6</f>
        <v>49.6012967183321</v>
      </c>
    </row>
    <row r="10" customFormat="false" ht="15" hidden="false" customHeight="false" outlineLevel="0" collapsed="false">
      <c r="A10" s="31" t="n">
        <f aca="false">SUMPRODUCT('1_輸入區'!B12:B14,'1_輸入區'!E12:E14)/SUM('1_輸入區'!B12:B14)+0.05</f>
        <v>0.141545410598828</v>
      </c>
      <c r="B10" s="32" t="n">
        <f aca="false">('2_EPS計算'!E7*(1+0.05)*(('1_輸入區'!D18+-0.05)-'1_輸入區'!D19)*(1+'1_輸入區'!D20)*(1-'1_輸入區'!D21))/'1_輸入區'!$B$6</f>
        <v>32.6480176907231</v>
      </c>
      <c r="C10" s="32" t="n">
        <f aca="false">('2_EPS計算'!E7*(1+0.05)*(('1_輸入區'!D18+-0.03)-'1_輸入區'!D19)*(1+'1_輸入區'!D20)*(1-'1_輸入區'!D21))/'1_輸入區'!$B$6</f>
        <v>36.5346864634282</v>
      </c>
      <c r="D10" s="32" t="n">
        <f aca="false">('2_EPS計算'!E7*(1+0.05)*(('1_輸入區'!D18+-0.015)-'1_輸入區'!D19)*(1+'1_輸入區'!D20)*(1-'1_輸入區'!D21))/'1_輸入區'!$B$6</f>
        <v>39.449688042957</v>
      </c>
      <c r="E10" s="32" t="n">
        <f aca="false">('2_EPS計算'!E7*(1+0.05)*(('1_輸入區'!D18+0)-'1_輸入區'!D19)*(1+'1_輸入區'!D20)*(1-'1_輸入區'!D21))/'1_輸入區'!$B$6</f>
        <v>42.3646896224859</v>
      </c>
      <c r="F10" s="32" t="n">
        <f aca="false">('2_EPS計算'!E7*(1+0.05)*(('1_輸入區'!D18+0.015)-'1_輸入區'!D19)*(1+'1_輸入區'!D20)*(1-'1_輸入區'!D21))/'1_輸入區'!$B$6</f>
        <v>45.2796912020147</v>
      </c>
      <c r="G10" s="32" t="n">
        <f aca="false">('2_EPS計算'!E7*(1+0.05)*(('1_輸入區'!D18+0.03)-'1_輸入區'!D19)*(1+'1_輸入區'!D20)*(1-'1_輸入區'!D21))/'1_輸入區'!$B$6</f>
        <v>48.1946927815436</v>
      </c>
      <c r="H10" s="32" t="n">
        <f aca="false">('2_EPS計算'!E7*(1+0.05)*(('1_輸入區'!D18+0.05)-'1_輸入區'!D19)*(1+'1_輸入區'!D20)*(1-'1_輸入區'!D21))/'1_輸入區'!$B$6</f>
        <v>52.0813615542487</v>
      </c>
    </row>
    <row r="11" customFormat="false" ht="15" hidden="false" customHeight="false" outlineLevel="0" collapsed="false">
      <c r="A11" s="31" t="n">
        <f aca="false">SUMPRODUCT('1_輸入區'!B12:B14,'1_輸入區'!E12:E14)/SUM('1_輸入區'!B12:B14)+0.1</f>
        <v>0.191545410598828</v>
      </c>
      <c r="B11" s="32" t="n">
        <f aca="false">('2_EPS計算'!E7*(1+0.1)*(('1_輸入區'!D18+-0.05)-'1_輸入區'!D19)*(1+'1_輸入區'!D20)*(1-'1_輸入區'!D21))/'1_輸入區'!$B$6</f>
        <v>34.2026851998051</v>
      </c>
      <c r="C11" s="32" t="n">
        <f aca="false">('2_EPS計算'!E7*(1+0.1)*(('1_輸入區'!D18+-0.03)-'1_輸入區'!D19)*(1+'1_輸入區'!D20)*(1-'1_輸入區'!D21))/'1_輸入區'!$B$6</f>
        <v>38.2744334378772</v>
      </c>
      <c r="D11" s="32" t="n">
        <f aca="false">('2_EPS計算'!E7*(1+0.1)*(('1_輸入區'!D18+-0.015)-'1_輸入區'!D19)*(1+'1_輸入區'!D20)*(1-'1_輸入區'!D21))/'1_輸入區'!$B$6</f>
        <v>41.3282446164312</v>
      </c>
      <c r="E11" s="32" t="n">
        <f aca="false">('2_EPS計算'!E7*(1+0.1)*(('1_輸入區'!D18+0)-'1_輸入區'!D19)*(1+'1_輸入區'!D20)*(1-'1_輸入區'!D21))/'1_輸入區'!$B$6</f>
        <v>44.3820557949852</v>
      </c>
      <c r="F11" s="32" t="n">
        <f aca="false">('2_EPS計算'!E7*(1+0.1)*(('1_輸入區'!D18+0.015)-'1_輸入區'!D19)*(1+'1_輸入區'!D20)*(1-'1_輸入區'!D21))/'1_輸入區'!$B$6</f>
        <v>47.4358669735393</v>
      </c>
      <c r="G11" s="32" t="n">
        <f aca="false">('2_EPS計算'!E7*(1+0.1)*(('1_輸入區'!D18+0.03)-'1_輸入區'!D19)*(1+'1_輸入區'!D20)*(1-'1_輸入區'!D21))/'1_輸入區'!$B$6</f>
        <v>50.4896781520933</v>
      </c>
      <c r="H11" s="32" t="n">
        <f aca="false">('2_EPS計算'!E7*(1+0.1)*(('1_輸入區'!D18+0.05)-'1_輸入區'!D19)*(1+'1_輸入區'!D20)*(1-'1_輸入區'!D21))/'1_輸入區'!$B$6</f>
        <v>54.5614263901653</v>
      </c>
    </row>
    <row r="12" customFormat="false" ht="15" hidden="false" customHeight="false" outlineLevel="0" collapsed="false">
      <c r="A12" s="31" t="n">
        <f aca="false">SUMPRODUCT('1_輸入區'!B12:B14,'1_輸入區'!E12:E14)/SUM('1_輸入區'!B12:B14)+0.15</f>
        <v>0.241545410598828</v>
      </c>
      <c r="B12" s="32" t="n">
        <f aca="false">('2_EPS計算'!E7*(1+0.15)*(('1_輸入區'!D18+-0.05)-'1_輸入區'!D19)*(1+'1_輸入區'!D20)*(1-'1_輸入區'!D21))/'1_輸入區'!$B$6</f>
        <v>35.7573527088872</v>
      </c>
      <c r="C12" s="32" t="n">
        <f aca="false">('2_EPS計算'!E7*(1+0.15)*(('1_輸入區'!D18+-0.03)-'1_輸入區'!D19)*(1+'1_輸入區'!D20)*(1-'1_輸入區'!D21))/'1_輸入區'!$B$6</f>
        <v>40.0141804123261</v>
      </c>
      <c r="D12" s="32" t="n">
        <f aca="false">('2_EPS計算'!E7*(1+0.15)*(('1_輸入區'!D18+-0.015)-'1_輸入區'!D19)*(1+'1_輸入區'!D20)*(1-'1_輸入區'!D21))/'1_輸入區'!$B$6</f>
        <v>43.2068011899053</v>
      </c>
      <c r="E12" s="32" t="n">
        <f aca="false">('2_EPS計算'!E7*(1+0.15)*(('1_輸入區'!D18+0)-'1_輸入區'!D19)*(1+'1_輸入區'!D20)*(1-'1_輸入區'!D21))/'1_輸入區'!$B$6</f>
        <v>46.3994219674846</v>
      </c>
      <c r="F12" s="32" t="n">
        <f aca="false">('2_EPS計算'!E7*(1+0.15)*(('1_輸入區'!D18+0.015)-'1_輸入區'!D19)*(1+'1_輸入區'!D20)*(1-'1_輸入區'!D21))/'1_輸入區'!$B$6</f>
        <v>49.5920427450638</v>
      </c>
      <c r="G12" s="32" t="n">
        <f aca="false">('2_EPS計算'!E7*(1+0.15)*(('1_輸入區'!D18+0.03)-'1_輸入區'!D19)*(1+'1_輸入區'!D20)*(1-'1_輸入區'!D21))/'1_輸入區'!$B$6</f>
        <v>52.784663522643</v>
      </c>
      <c r="H12" s="32" t="n">
        <f aca="false">('2_EPS計算'!E7*(1+0.15)*(('1_輸入區'!D18+0.05)-'1_輸入區'!D19)*(1+'1_輸入區'!D20)*(1-'1_輸入區'!D21))/'1_輸入區'!$B$6</f>
        <v>57.0414912260819</v>
      </c>
    </row>
    <row r="15" customFormat="false" ht="17.15" hidden="false" customHeight="false" outlineLevel="0" collapsed="false">
      <c r="A15" s="8" t="s">
        <v>146</v>
      </c>
      <c r="B15" s="8"/>
      <c r="C15" s="8"/>
      <c r="D15" s="8"/>
      <c r="E15" s="8"/>
      <c r="F15" s="8"/>
      <c r="G15" s="8"/>
      <c r="H15" s="8"/>
    </row>
    <row r="17" customFormat="false" ht="15" hidden="false" customHeight="false" outlineLevel="0" collapsed="false">
      <c r="A17" s="19" t="s">
        <v>147</v>
      </c>
      <c r="B17" s="33" t="n">
        <v>16</v>
      </c>
      <c r="C17" s="33" t="n">
        <v>20</v>
      </c>
      <c r="D17" s="33" t="n">
        <v>25</v>
      </c>
      <c r="E17" s="33" t="n">
        <v>27</v>
      </c>
      <c r="F17" s="33" t="n">
        <v>30</v>
      </c>
      <c r="G17" s="33" t="n">
        <v>32</v>
      </c>
      <c r="H17" s="33" t="n">
        <v>40</v>
      </c>
    </row>
    <row r="18" customFormat="false" ht="15" hidden="false" customHeight="false" outlineLevel="0" collapsed="false">
      <c r="A18" s="31" t="n">
        <f aca="false">A6</f>
        <v>-0.0584545894011723</v>
      </c>
      <c r="B18" s="21" t="n">
        <f aca="false">D6*B17</f>
        <v>510.967387984967</v>
      </c>
      <c r="C18" s="21" t="n">
        <f aca="false">D6*C17</f>
        <v>638.709234981209</v>
      </c>
      <c r="D18" s="21" t="n">
        <f aca="false">D6*D17</f>
        <v>798.386543726512</v>
      </c>
      <c r="E18" s="21" t="n">
        <f aca="false">D6*E17</f>
        <v>862.257467224633</v>
      </c>
      <c r="F18" s="21" t="n">
        <f aca="false">D6*F17</f>
        <v>958.063852471814</v>
      </c>
      <c r="G18" s="21" t="n">
        <f aca="false">D6*G17</f>
        <v>1021.93477596993</v>
      </c>
      <c r="H18" s="21" t="n">
        <f aca="false">D6*H17</f>
        <v>1277.41846996242</v>
      </c>
    </row>
    <row r="19" customFormat="false" ht="15" hidden="false" customHeight="false" outlineLevel="0" collapsed="false">
      <c r="A19" s="31" t="n">
        <f aca="false">A7</f>
        <v>-0.00845458940117229</v>
      </c>
      <c r="B19" s="21" t="n">
        <f aca="false">D7*B17</f>
        <v>541.024293160554</v>
      </c>
      <c r="C19" s="21" t="n">
        <f aca="false">D7*C17</f>
        <v>676.280366450692</v>
      </c>
      <c r="D19" s="21" t="n">
        <f aca="false">D7*D17</f>
        <v>845.350458063365</v>
      </c>
      <c r="E19" s="21" t="n">
        <f aca="false">D7*E17</f>
        <v>912.978494708435</v>
      </c>
      <c r="F19" s="21" t="n">
        <f aca="false">D7*F17</f>
        <v>1014.42054967604</v>
      </c>
      <c r="G19" s="21" t="n">
        <f aca="false">D7*G17</f>
        <v>1082.04858632111</v>
      </c>
      <c r="H19" s="21" t="n">
        <f aca="false">D7*H17</f>
        <v>1352.56073290138</v>
      </c>
    </row>
    <row r="20" customFormat="false" ht="15" hidden="false" customHeight="false" outlineLevel="0" collapsed="false">
      <c r="A20" s="31" t="n">
        <f aca="false">A8</f>
        <v>0.0415454105988277</v>
      </c>
      <c r="B20" s="21" t="n">
        <f aca="false">D8*B17</f>
        <v>571.08119833614</v>
      </c>
      <c r="C20" s="21" t="n">
        <f aca="false">D8*C17</f>
        <v>713.851497920175</v>
      </c>
      <c r="D20" s="21" t="n">
        <f aca="false">D8*D17</f>
        <v>892.314372400219</v>
      </c>
      <c r="E20" s="21" t="n">
        <f aca="false">D8*E17</f>
        <v>963.699522192237</v>
      </c>
      <c r="F20" s="21" t="n">
        <f aca="false">D8*F17</f>
        <v>1070.77724688026</v>
      </c>
      <c r="G20" s="21" t="n">
        <f aca="false">D8*G17</f>
        <v>1142.16239667228</v>
      </c>
      <c r="H20" s="21" t="n">
        <f aca="false">D8*H17</f>
        <v>1427.70299584035</v>
      </c>
    </row>
    <row r="21" customFormat="false" ht="15" hidden="false" customHeight="false" outlineLevel="0" collapsed="false">
      <c r="A21" s="31" t="n">
        <f aca="false">A9</f>
        <v>0.0915454105988277</v>
      </c>
      <c r="B21" s="21" t="n">
        <f aca="false">D9*B17</f>
        <v>601.138103511726</v>
      </c>
      <c r="C21" s="21" t="n">
        <f aca="false">D9*C17</f>
        <v>751.422629389658</v>
      </c>
      <c r="D21" s="21" t="n">
        <f aca="false">D9*D17</f>
        <v>939.278286737072</v>
      </c>
      <c r="E21" s="21" t="n">
        <f aca="false">D9*E17</f>
        <v>1014.42054967604</v>
      </c>
      <c r="F21" s="21" t="n">
        <f aca="false">D9*F17</f>
        <v>1127.13394408449</v>
      </c>
      <c r="G21" s="21" t="n">
        <f aca="false">D9*G17</f>
        <v>1202.27620702345</v>
      </c>
      <c r="H21" s="21" t="n">
        <f aca="false">D9*H17</f>
        <v>1502.84525877932</v>
      </c>
    </row>
    <row r="22" customFormat="false" ht="15" hidden="false" customHeight="false" outlineLevel="0" collapsed="false">
      <c r="A22" s="31" t="n">
        <f aca="false">A10</f>
        <v>0.141545410598828</v>
      </c>
      <c r="B22" s="21" t="n">
        <f aca="false">D10*B17</f>
        <v>631.195008687313</v>
      </c>
      <c r="C22" s="21" t="n">
        <f aca="false">D10*C17</f>
        <v>788.993760859141</v>
      </c>
      <c r="D22" s="21" t="n">
        <f aca="false">D10*D17</f>
        <v>986.242201073926</v>
      </c>
      <c r="E22" s="21" t="n">
        <f aca="false">D10*E17</f>
        <v>1065.14157715984</v>
      </c>
      <c r="F22" s="21" t="n">
        <f aca="false">D10*F17</f>
        <v>1183.49064128871</v>
      </c>
      <c r="G22" s="21" t="n">
        <f aca="false">D10*G17</f>
        <v>1262.39001737463</v>
      </c>
      <c r="H22" s="21" t="n">
        <f aca="false">D10*H17</f>
        <v>1577.98752171828</v>
      </c>
    </row>
    <row r="23" customFormat="false" ht="15" hidden="false" customHeight="false" outlineLevel="0" collapsed="false">
      <c r="A23" s="31" t="n">
        <f aca="false">A11</f>
        <v>0.191545410598828</v>
      </c>
      <c r="B23" s="21" t="n">
        <f aca="false">D11*B17</f>
        <v>661.251913862899</v>
      </c>
      <c r="C23" s="21" t="n">
        <f aca="false">D11*C17</f>
        <v>826.564892328624</v>
      </c>
      <c r="D23" s="21" t="n">
        <f aca="false">D11*D17</f>
        <v>1033.20611541078</v>
      </c>
      <c r="E23" s="21" t="n">
        <f aca="false">D11*E17</f>
        <v>1115.86260464364</v>
      </c>
      <c r="F23" s="21" t="n">
        <f aca="false">D11*F17</f>
        <v>1239.84733849294</v>
      </c>
      <c r="G23" s="21" t="n">
        <f aca="false">D11*G17</f>
        <v>1322.5038277258</v>
      </c>
      <c r="H23" s="21" t="n">
        <f aca="false">D11*H17</f>
        <v>1653.12978465725</v>
      </c>
    </row>
    <row r="24" customFormat="false" ht="15" hidden="false" customHeight="false" outlineLevel="0" collapsed="false">
      <c r="A24" s="31" t="n">
        <f aca="false">A12</f>
        <v>0.241545410598828</v>
      </c>
      <c r="B24" s="21" t="n">
        <f aca="false">D12*B17</f>
        <v>691.308819038485</v>
      </c>
      <c r="C24" s="21" t="n">
        <f aca="false">D12*C17</f>
        <v>864.136023798107</v>
      </c>
      <c r="D24" s="21" t="n">
        <f aca="false">D12*D17</f>
        <v>1080.17002974763</v>
      </c>
      <c r="E24" s="21" t="n">
        <f aca="false">D12*E17</f>
        <v>1166.58363212744</v>
      </c>
      <c r="F24" s="21" t="n">
        <f aca="false">D12*F17</f>
        <v>1296.20403569716</v>
      </c>
      <c r="G24" s="21" t="n">
        <f aca="false">D12*G17</f>
        <v>1382.61763807697</v>
      </c>
      <c r="H24" s="21" t="n">
        <f aca="false">D12*H17</f>
        <v>1728.27204759621</v>
      </c>
    </row>
  </sheetData>
  <mergeCells count="2">
    <mergeCell ref="A3:H3"/>
    <mergeCell ref="A15:H15"/>
  </mergeCells>
  <conditionalFormatting sqref="B18:H24">
    <cfRule type="cellIs" priority="2" operator="greaterThan" aboveAverage="0" equalAverage="0" bottom="0" percent="0" rank="0" text="" dxfId="0">
      <formula>'1_輸入區'!$B$5</formula>
    </cfRule>
    <cfRule type="cellIs" priority="3" operator="lessThan" aboveAverage="0" equalAverage="0" bottom="0" percent="0" rank="0" text="" dxfId="1">
      <formula>'1_輸入區'!$B$5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6"/>
  </cols>
  <sheetData>
    <row r="1" customFormat="false" ht="21.6" hidden="false" customHeight="false" outlineLevel="0" collapsed="false">
      <c r="A1" s="1" t="s">
        <v>148</v>
      </c>
    </row>
    <row r="3" customFormat="false" ht="15" hidden="false" customHeight="false" outlineLevel="0" collapsed="false">
      <c r="A3" s="3" t="s">
        <v>111</v>
      </c>
      <c r="B3" s="3" t="s">
        <v>112</v>
      </c>
      <c r="C3" s="12" t="s">
        <v>149</v>
      </c>
      <c r="D3" s="3" t="s">
        <v>150</v>
      </c>
      <c r="E3" s="3" t="s">
        <v>30</v>
      </c>
      <c r="F3" s="12" t="s">
        <v>151</v>
      </c>
    </row>
    <row r="4" customFormat="false" ht="15" hidden="false" customHeight="false" outlineLevel="0" collapsed="false">
      <c r="A4" s="34" t="str">
        <f aca="false">'1_輸入區'!A33</f>
        <v>樂觀</v>
      </c>
      <c r="B4" s="25" t="n">
        <f aca="false">'1_輸入區'!B33</f>
        <v>0.25</v>
      </c>
      <c r="C4" s="32" t="n">
        <f aca="false">'2_EPS計算'!E16*(1+'1_輸入區'!C33)</f>
        <v>44.8582433007937</v>
      </c>
      <c r="D4" s="35" t="n">
        <f aca="false">'1_輸入區'!E33</f>
        <v>32</v>
      </c>
      <c r="E4" s="23" t="n">
        <f aca="false">C4*D4</f>
        <v>1435.4637856254</v>
      </c>
      <c r="F4" s="36" t="n">
        <f aca="false">E4/'1_輸入區'!$B$5-1</f>
        <v>2.72847736526077</v>
      </c>
    </row>
    <row r="5" customFormat="false" ht="15" hidden="false" customHeight="false" outlineLevel="0" collapsed="false">
      <c r="A5" s="34" t="str">
        <f aca="false">'1_輸入區'!A34</f>
        <v>基本</v>
      </c>
      <c r="B5" s="25" t="n">
        <f aca="false">'1_輸入區'!B34</f>
        <v>0.4</v>
      </c>
      <c r="C5" s="32" t="n">
        <f aca="false">'2_EPS計算'!E16*(1+'1_輸入區'!C34)</f>
        <v>40.7802211825397</v>
      </c>
      <c r="D5" s="35" t="n">
        <f aca="false">'1_輸入區'!E34</f>
        <v>27</v>
      </c>
      <c r="E5" s="23" t="n">
        <f aca="false">C5*D5</f>
        <v>1101.06597192857</v>
      </c>
      <c r="F5" s="36" t="n">
        <f aca="false">E5/'1_輸入區'!$B$5-1</f>
        <v>1.85991161539889</v>
      </c>
    </row>
    <row r="6" customFormat="false" ht="15" hidden="false" customHeight="false" outlineLevel="0" collapsed="false">
      <c r="A6" s="34" t="str">
        <f aca="false">'1_輸入區'!A35</f>
        <v>保守（加寬版，2026-07-10依Wallace指示調整）</v>
      </c>
      <c r="B6" s="25" t="n">
        <f aca="false">'1_輸入區'!B35</f>
        <v>0.2</v>
      </c>
      <c r="C6" s="32" t="n">
        <f aca="false">'2_EPS計算'!E16*(1+'1_輸入區'!C35)</f>
        <v>28.5461548277778</v>
      </c>
      <c r="D6" s="35" t="n">
        <f aca="false">'1_輸入區'!E35</f>
        <v>20</v>
      </c>
      <c r="E6" s="23" t="n">
        <f aca="false">C6*D6</f>
        <v>570.923096555556</v>
      </c>
      <c r="F6" s="36" t="n">
        <f aca="false">E6/'1_輸入區'!$B$5-1</f>
        <v>0.482917133910534</v>
      </c>
    </row>
    <row r="7" customFormat="false" ht="15" hidden="false" customHeight="false" outlineLevel="0" collapsed="false">
      <c r="A7" s="34" t="str">
        <f aca="false">'1_輸入區'!A36</f>
        <v>循環見頂（新增，2026-07-10依Wallace指示新增）</v>
      </c>
      <c r="B7" s="25" t="n">
        <f aca="false">'1_輸入區'!B36</f>
        <v>0.15</v>
      </c>
      <c r="C7" s="32" t="n">
        <f aca="false">'2_EPS計算'!E16*(1+'1_輸入區'!C36)</f>
        <v>14.8032202892619</v>
      </c>
      <c r="D7" s="35" t="n">
        <f aca="false">'1_輸入區'!E36</f>
        <v>16</v>
      </c>
      <c r="E7" s="23" t="n">
        <f aca="false">C7*D7</f>
        <v>236.851524628191</v>
      </c>
      <c r="F7" s="36" t="n">
        <f aca="false">E7/'1_輸入區'!$B$5-1</f>
        <v>-0.384801234731973</v>
      </c>
    </row>
    <row r="8" customFormat="false" ht="15" hidden="false" customHeight="false" outlineLevel="0" collapsed="false">
      <c r="A8" s="37" t="s">
        <v>152</v>
      </c>
      <c r="E8" s="38" t="n">
        <f aca="false">SUMPRODUCT(B4:B7,E4:E7)</f>
        <v>949.004683183118</v>
      </c>
      <c r="F8" s="39" t="n">
        <f aca="false">E8/'1_輸入區'!$B$5-1</f>
        <v>1.46494722904706</v>
      </c>
    </row>
    <row r="10" customFormat="false" ht="15" hidden="false" customHeight="false" outlineLevel="0" collapsed="false">
      <c r="A10" s="3" t="s">
        <v>153</v>
      </c>
    </row>
    <row r="11" customFormat="false" ht="15" hidden="false" customHeight="false" outlineLevel="0" collapsed="false">
      <c r="A11" s="2" t="s">
        <v>154</v>
      </c>
    </row>
    <row r="12" customFormat="false" ht="15" hidden="false" customHeight="false" outlineLevel="0" collapsed="false">
      <c r="A12" s="29" t="s">
        <v>155</v>
      </c>
      <c r="B12" s="19" t="s">
        <v>26</v>
      </c>
      <c r="C12" s="29" t="s">
        <v>156</v>
      </c>
      <c r="D12" s="29" t="s">
        <v>157</v>
      </c>
      <c r="E12" s="19" t="s">
        <v>151</v>
      </c>
    </row>
    <row r="13" customFormat="false" ht="15" hidden="false" customHeight="false" outlineLevel="0" collapsed="false">
      <c r="A13" s="11" t="s">
        <v>127</v>
      </c>
      <c r="B13" s="27" t="n">
        <f aca="false">'2_EPS計算'!C16</f>
        <v>14.1747018689851</v>
      </c>
      <c r="C13" s="35" t="n">
        <f aca="false">'1_輸入區'!$B$29</f>
        <v>94.13</v>
      </c>
      <c r="D13" s="23" t="n">
        <f aca="false">B13*C13</f>
        <v>1334.26468692756</v>
      </c>
      <c r="E13" s="36" t="n">
        <f aca="false">D13/'1_輸入區'!$B$5-1</f>
        <v>2.46562256344822</v>
      </c>
    </row>
    <row r="14" customFormat="false" ht="15" hidden="false" customHeight="false" outlineLevel="0" collapsed="false">
      <c r="A14" s="11" t="s">
        <v>128</v>
      </c>
      <c r="B14" s="27" t="n">
        <f aca="false">'2_EPS計算'!D16</f>
        <v>25.7608512983586</v>
      </c>
      <c r="C14" s="35" t="n">
        <f aca="false">'1_輸入區'!$B$29</f>
        <v>94.13</v>
      </c>
      <c r="D14" s="23" t="n">
        <f aca="false">B14*C14</f>
        <v>2424.86893271449</v>
      </c>
      <c r="E14" s="36" t="n">
        <f aca="false">D14/'1_輸入區'!$B$5-1</f>
        <v>5.29836086419349</v>
      </c>
    </row>
    <row r="15" customFormat="false" ht="15" hidden="false" customHeight="false" outlineLevel="0" collapsed="false">
      <c r="A15" s="11" t="s">
        <v>129</v>
      </c>
      <c r="B15" s="27" t="n">
        <f aca="false">'2_EPS計算'!E16</f>
        <v>40.7802211825397</v>
      </c>
      <c r="C15" s="35" t="n">
        <f aca="false">'1_輸入區'!$B$29</f>
        <v>94.13</v>
      </c>
      <c r="D15" s="23" t="n">
        <f aca="false">B15*C15</f>
        <v>3838.64221991246</v>
      </c>
      <c r="E15" s="36" t="n">
        <f aca="false">D15/'1_輸入區'!$B$5-1</f>
        <v>8.9704992724999</v>
      </c>
    </row>
    <row r="17" customFormat="false" ht="15" hidden="false" customHeight="false" outlineLevel="0" collapsed="false">
      <c r="A17" s="3" t="s">
        <v>158</v>
      </c>
    </row>
    <row r="18" customFormat="false" ht="15" hidden="false" customHeight="false" outlineLevel="0" collapsed="false">
      <c r="A18" s="4" t="s">
        <v>159</v>
      </c>
      <c r="B18" s="36" t="n">
        <f aca="false">('1_輸入區'!$B$5/('1_輸入區'!$B$26*'1_輸入區'!$B$8))^(1/'1_輸入區'!$B$27)-1</f>
        <v>0.851406641639419</v>
      </c>
    </row>
    <row r="19" customFormat="false" ht="15" hidden="false" customHeight="false" outlineLevel="0" collapsed="false">
      <c r="A19" s="4" t="s">
        <v>35</v>
      </c>
      <c r="B19" s="25" t="n">
        <f aca="false">'1_輸入區'!$B$28</f>
        <v>0.2</v>
      </c>
    </row>
    <row r="20" customFormat="false" ht="15" hidden="false" customHeight="false" outlineLevel="0" collapsed="false">
      <c r="A20" s="4" t="s">
        <v>160</v>
      </c>
      <c r="B20" s="36" t="n">
        <f aca="false">B18/B19</f>
        <v>4.2570332081971</v>
      </c>
    </row>
    <row r="21" customFormat="false" ht="15" hidden="false" customHeight="false" outlineLevel="0" collapsed="false">
      <c r="A21" s="22" t="s">
        <v>161</v>
      </c>
      <c r="B21" s="22" t="str">
        <f aca="false">IF(B20&gt;1.5,"🔴 隱含成長率遠高於產業，估值偏樂觀",IF(B20&lt;0.7,"🟢 隱含成長率低於產業，可能低估","🟡 隱含成長率與產業相近，估值合理"))</f>
        <v>🔴 隱含成長率遠高於產業，估值偏樂觀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2026-07-10T12:42:31Z</dcterms:created>
  <dc:creator>openpyxl</dc:creator>
  <dc:description/>
  <dc:language>en-US</dc:language>
  <cp:lastModifiedBy/>
  <dcterms:modified xsi:type="dcterms:W3CDTF">2026-07-10T12:42:31Z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