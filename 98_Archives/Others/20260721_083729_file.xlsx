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10\Desktop\"/>
    </mc:Choice>
  </mc:AlternateContent>
  <xr:revisionPtr revIDLastSave="0" documentId="13_ncr:1_{A746C5D3-BFCF-4764-9A4D-53D8AC2C59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聯茂6213" sheetId="1" r:id="rId1"/>
    <sheet name="模型邏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3" i="2" l="1" a="1"/>
  <c r="A23" i="2" s="1"/>
  <c r="AN9" i="1"/>
  <c r="AM9" i="1"/>
  <c r="AL9" i="1"/>
  <c r="AI7" i="1"/>
  <c r="AI8" i="1" s="1"/>
  <c r="AE7" i="1"/>
  <c r="AE8" i="1" s="1"/>
  <c r="AA7" i="1"/>
  <c r="AA11" i="1" s="1"/>
  <c r="W7" i="1"/>
  <c r="W8" i="1" s="1"/>
  <c r="S7" i="1"/>
  <c r="S11" i="1" s="1"/>
  <c r="O7" i="1"/>
  <c r="O8" i="1" s="1"/>
  <c r="K7" i="1"/>
  <c r="K11" i="1" s="1"/>
  <c r="G7" i="1"/>
  <c r="G8" i="1" s="1"/>
  <c r="C7" i="1"/>
  <c r="C11" i="1" s="1"/>
  <c r="AK6" i="1"/>
  <c r="AJ6" i="1"/>
  <c r="AI6" i="1"/>
  <c r="AH6" i="1"/>
  <c r="AG6" i="1"/>
  <c r="AF6" i="1"/>
  <c r="AE6" i="1"/>
  <c r="AD6" i="1"/>
  <c r="AC6" i="1"/>
  <c r="AB6" i="1"/>
  <c r="AA6" i="1"/>
  <c r="Z6" i="1"/>
  <c r="AN6" i="1" s="1"/>
  <c r="AN5" i="1" s="1"/>
  <c r="Y6" i="1"/>
  <c r="X6" i="1"/>
  <c r="W6" i="1"/>
  <c r="V6" i="1"/>
  <c r="U6" i="1"/>
  <c r="T6" i="1"/>
  <c r="S6" i="1"/>
  <c r="R6" i="1"/>
  <c r="Q6" i="1"/>
  <c r="P6" i="1"/>
  <c r="O6" i="1"/>
  <c r="N6" i="1"/>
  <c r="AM6" i="1" s="1"/>
  <c r="AM5" i="1" s="1"/>
  <c r="M6" i="1"/>
  <c r="L6" i="1"/>
  <c r="K6" i="1"/>
  <c r="J6" i="1"/>
  <c r="I6" i="1"/>
  <c r="H6" i="1"/>
  <c r="G6" i="1"/>
  <c r="F6" i="1"/>
  <c r="E6" i="1"/>
  <c r="D6" i="1"/>
  <c r="C6" i="1"/>
  <c r="B6" i="1"/>
  <c r="AL6" i="1" s="1"/>
  <c r="AL5" i="1" s="1"/>
  <c r="AK4" i="1"/>
  <c r="AK7" i="1" s="1"/>
  <c r="AJ4" i="1"/>
  <c r="AJ7" i="1" s="1"/>
  <c r="AI4" i="1"/>
  <c r="AH4" i="1"/>
  <c r="AH7" i="1" s="1"/>
  <c r="AG4" i="1"/>
  <c r="AG7" i="1" s="1"/>
  <c r="AF4" i="1"/>
  <c r="AF7" i="1" s="1"/>
  <c r="AE4" i="1"/>
  <c r="AD4" i="1"/>
  <c r="AD7" i="1" s="1"/>
  <c r="AC4" i="1"/>
  <c r="AC7" i="1" s="1"/>
  <c r="AB4" i="1"/>
  <c r="AN4" i="1" s="1"/>
  <c r="AA4" i="1"/>
  <c r="Z4" i="1"/>
  <c r="Z7" i="1" s="1"/>
  <c r="Y4" i="1"/>
  <c r="Y7" i="1" s="1"/>
  <c r="X4" i="1"/>
  <c r="X7" i="1" s="1"/>
  <c r="W4" i="1"/>
  <c r="V4" i="1"/>
  <c r="V7" i="1" s="1"/>
  <c r="U4" i="1"/>
  <c r="U7" i="1" s="1"/>
  <c r="T4" i="1"/>
  <c r="T7" i="1" s="1"/>
  <c r="S4" i="1"/>
  <c r="R4" i="1"/>
  <c r="R7" i="1" s="1"/>
  <c r="Q4" i="1"/>
  <c r="Q7" i="1" s="1"/>
  <c r="P4" i="1"/>
  <c r="P7" i="1" s="1"/>
  <c r="O4" i="1"/>
  <c r="N4" i="1"/>
  <c r="N7" i="1" s="1"/>
  <c r="M4" i="1"/>
  <c r="M7" i="1" s="1"/>
  <c r="L4" i="1"/>
  <c r="L7" i="1" s="1"/>
  <c r="K4" i="1"/>
  <c r="J4" i="1"/>
  <c r="J7" i="1" s="1"/>
  <c r="I4" i="1"/>
  <c r="I7" i="1" s="1"/>
  <c r="H4" i="1"/>
  <c r="H7" i="1" s="1"/>
  <c r="G4" i="1"/>
  <c r="F4" i="1"/>
  <c r="F7" i="1" s="1"/>
  <c r="E4" i="1"/>
  <c r="E7" i="1" s="1"/>
  <c r="D4" i="1"/>
  <c r="D7" i="1" s="1"/>
  <c r="C4" i="1"/>
  <c r="B4" i="1"/>
  <c r="B7" i="1" s="1"/>
  <c r="AN2" i="1"/>
  <c r="AM2" i="1"/>
  <c r="AL2" i="1"/>
  <c r="F11" i="1" l="1"/>
  <c r="F8" i="1"/>
  <c r="V11" i="1"/>
  <c r="V8" i="1"/>
  <c r="S10" i="1"/>
  <c r="S12" i="1"/>
  <c r="S14" i="1" s="1"/>
  <c r="J11" i="1"/>
  <c r="J8" i="1"/>
  <c r="R11" i="1"/>
  <c r="R8" i="1"/>
  <c r="Z11" i="1"/>
  <c r="Z8" i="1"/>
  <c r="AH11" i="1"/>
  <c r="AH8" i="1"/>
  <c r="C14" i="1"/>
  <c r="C10" i="1"/>
  <c r="C12" i="1"/>
  <c r="D11" i="1"/>
  <c r="D8" i="1"/>
  <c r="H11" i="1"/>
  <c r="H8" i="1"/>
  <c r="L11" i="1"/>
  <c r="L8" i="1"/>
  <c r="P11" i="1"/>
  <c r="P8" i="1"/>
  <c r="T11" i="1"/>
  <c r="T8" i="1"/>
  <c r="X11" i="1"/>
  <c r="X8" i="1"/>
  <c r="AN7" i="1"/>
  <c r="AN3" i="1"/>
  <c r="AF11" i="1"/>
  <c r="AF8" i="1"/>
  <c r="AJ11" i="1"/>
  <c r="AJ8" i="1"/>
  <c r="K10" i="1"/>
  <c r="K12" i="1"/>
  <c r="K14" i="1" s="1"/>
  <c r="AA14" i="1"/>
  <c r="AA10" i="1"/>
  <c r="AA12" i="1"/>
  <c r="B11" i="1"/>
  <c r="B8" i="1"/>
  <c r="N11" i="1"/>
  <c r="N8" i="1"/>
  <c r="AD11" i="1"/>
  <c r="AD8" i="1"/>
  <c r="E8" i="1"/>
  <c r="E11" i="1"/>
  <c r="I11" i="1"/>
  <c r="I8" i="1"/>
  <c r="M11" i="1"/>
  <c r="M8" i="1"/>
  <c r="Q11" i="1"/>
  <c r="Q8" i="1"/>
  <c r="U11" i="1"/>
  <c r="U8" i="1"/>
  <c r="Y11" i="1"/>
  <c r="Y8" i="1"/>
  <c r="AC8" i="1"/>
  <c r="AC11" i="1"/>
  <c r="AG8" i="1"/>
  <c r="AG11" i="1"/>
  <c r="AK8" i="1"/>
  <c r="AK11" i="1"/>
  <c r="AB7" i="1"/>
  <c r="G11" i="1"/>
  <c r="O11" i="1"/>
  <c r="W11" i="1"/>
  <c r="AE11" i="1"/>
  <c r="AL4" i="1"/>
  <c r="AM4" i="1"/>
  <c r="C8" i="1"/>
  <c r="K8" i="1"/>
  <c r="S8" i="1"/>
  <c r="AA8" i="1"/>
  <c r="AI11" i="1"/>
  <c r="S17" i="1" l="1"/>
  <c r="S13" i="1"/>
  <c r="K17" i="1"/>
  <c r="K13" i="1"/>
  <c r="G10" i="1"/>
  <c r="G12" i="1"/>
  <c r="G14" i="1" s="1"/>
  <c r="AA17" i="1"/>
  <c r="AA13" i="1"/>
  <c r="Z10" i="1"/>
  <c r="Z12" i="1"/>
  <c r="Z14" i="1"/>
  <c r="AE10" i="1"/>
  <c r="AE12" i="1"/>
  <c r="AE14" i="1" s="1"/>
  <c r="Y12" i="1"/>
  <c r="Y14" i="1" s="1"/>
  <c r="Y10" i="1"/>
  <c r="AD14" i="1"/>
  <c r="AD10" i="1"/>
  <c r="AD12" i="1"/>
  <c r="AJ12" i="1"/>
  <c r="AJ10" i="1"/>
  <c r="AJ14" i="1"/>
  <c r="T12" i="1"/>
  <c r="T14" i="1"/>
  <c r="T10" i="1"/>
  <c r="D12" i="1"/>
  <c r="D14" i="1" s="1"/>
  <c r="D10" i="1"/>
  <c r="V12" i="1"/>
  <c r="V14" i="1" s="1"/>
  <c r="V10" i="1"/>
  <c r="AL7" i="1"/>
  <c r="AL3" i="1"/>
  <c r="J10" i="1"/>
  <c r="J12" i="1"/>
  <c r="J14" i="1"/>
  <c r="AB11" i="1"/>
  <c r="AB8" i="1"/>
  <c r="I12" i="1"/>
  <c r="I14" i="1"/>
  <c r="I10" i="1"/>
  <c r="L12" i="1"/>
  <c r="L14" i="1" s="1"/>
  <c r="L10" i="1"/>
  <c r="AK12" i="1"/>
  <c r="AK14" i="1"/>
  <c r="AK10" i="1"/>
  <c r="E12" i="1"/>
  <c r="E14" i="1"/>
  <c r="E10" i="1"/>
  <c r="AH10" i="1"/>
  <c r="AH12" i="1"/>
  <c r="AH14" i="1"/>
  <c r="R10" i="1"/>
  <c r="R12" i="1"/>
  <c r="R14" i="1"/>
  <c r="AG12" i="1"/>
  <c r="AG14" i="1"/>
  <c r="AG10" i="1"/>
  <c r="C17" i="1"/>
  <c r="C13" i="1"/>
  <c r="Q12" i="1"/>
  <c r="Q14" i="1" s="1"/>
  <c r="Q10" i="1"/>
  <c r="B10" i="1"/>
  <c r="B12" i="1"/>
  <c r="AN11" i="1"/>
  <c r="AN8" i="1"/>
  <c r="AI14" i="1"/>
  <c r="AI10" i="1"/>
  <c r="AI12" i="1"/>
  <c r="W14" i="1"/>
  <c r="W10" i="1"/>
  <c r="W12" i="1"/>
  <c r="AC12" i="1"/>
  <c r="AC14" i="1"/>
  <c r="AC10" i="1"/>
  <c r="AM3" i="1"/>
  <c r="AM7" i="1"/>
  <c r="O14" i="1"/>
  <c r="O10" i="1"/>
  <c r="O12" i="1"/>
  <c r="U12" i="1"/>
  <c r="U14" i="1"/>
  <c r="U10" i="1"/>
  <c r="M12" i="1"/>
  <c r="M14" i="1"/>
  <c r="M10" i="1"/>
  <c r="N14" i="1"/>
  <c r="N10" i="1"/>
  <c r="N12" i="1"/>
  <c r="AF10" i="1"/>
  <c r="AF14" i="1"/>
  <c r="AF12" i="1"/>
  <c r="X10" i="1"/>
  <c r="X12" i="1"/>
  <c r="X14" i="1"/>
  <c r="P10" i="1"/>
  <c r="P12" i="1"/>
  <c r="P14" i="1" s="1"/>
  <c r="H10" i="1"/>
  <c r="H12" i="1"/>
  <c r="H14" i="1" s="1"/>
  <c r="F12" i="1"/>
  <c r="F14" i="1" s="1"/>
  <c r="F10" i="1"/>
  <c r="H13" i="1" l="1"/>
  <c r="H17" i="1"/>
  <c r="G17" i="1"/>
  <c r="G13" i="1"/>
  <c r="L13" i="1"/>
  <c r="L17" i="1"/>
  <c r="V13" i="1"/>
  <c r="V17" i="1"/>
  <c r="P13" i="1"/>
  <c r="P17" i="1"/>
  <c r="Q17" i="1"/>
  <c r="Q13" i="1"/>
  <c r="Y17" i="1"/>
  <c r="Y13" i="1"/>
  <c r="F13" i="1"/>
  <c r="F17" i="1"/>
  <c r="D13" i="1"/>
  <c r="D17" i="1"/>
  <c r="AE17" i="1"/>
  <c r="AE13" i="1"/>
  <c r="X13" i="1"/>
  <c r="X17" i="1"/>
  <c r="E17" i="1"/>
  <c r="E13" i="1"/>
  <c r="N13" i="1"/>
  <c r="N17" i="1"/>
  <c r="AI17" i="1"/>
  <c r="AI13" i="1"/>
  <c r="AG17" i="1"/>
  <c r="AG13" i="1"/>
  <c r="AJ13" i="1"/>
  <c r="AJ17" i="1"/>
  <c r="AA19" i="1"/>
  <c r="AA16" i="1"/>
  <c r="O17" i="1"/>
  <c r="O13" i="1"/>
  <c r="W17" i="1"/>
  <c r="W13" i="1"/>
  <c r="K16" i="1"/>
  <c r="K19" i="1"/>
  <c r="M17" i="1"/>
  <c r="M13" i="1"/>
  <c r="R13" i="1"/>
  <c r="R17" i="1"/>
  <c r="I17" i="1"/>
  <c r="I13" i="1"/>
  <c r="J13" i="1"/>
  <c r="J17" i="1"/>
  <c r="AL11" i="1"/>
  <c r="AL8" i="1"/>
  <c r="T13" i="1"/>
  <c r="T17" i="1"/>
  <c r="AF13" i="1"/>
  <c r="AF17" i="1"/>
  <c r="AL12" i="1"/>
  <c r="AK17" i="1"/>
  <c r="AK13" i="1"/>
  <c r="Z13" i="1"/>
  <c r="Z17" i="1"/>
  <c r="U17" i="1"/>
  <c r="U13" i="1"/>
  <c r="AC17" i="1"/>
  <c r="AC13" i="1"/>
  <c r="AH13" i="1"/>
  <c r="AH17" i="1"/>
  <c r="AB12" i="1"/>
  <c r="AN12" i="1" s="1"/>
  <c r="AN14" i="1" s="1"/>
  <c r="AB14" i="1"/>
  <c r="AB10" i="1"/>
  <c r="AD13" i="1"/>
  <c r="AD17" i="1"/>
  <c r="AM12" i="1"/>
  <c r="AM8" i="1"/>
  <c r="AM11" i="1"/>
  <c r="AN10" i="1"/>
  <c r="C16" i="1"/>
  <c r="C19" i="1"/>
  <c r="B14" i="1"/>
  <c r="S16" i="1"/>
  <c r="S19" i="1"/>
  <c r="AN13" i="1" l="1"/>
  <c r="AN17" i="1"/>
  <c r="Z19" i="1"/>
  <c r="Z16" i="1"/>
  <c r="AD19" i="1"/>
  <c r="AD16" i="1"/>
  <c r="O16" i="1"/>
  <c r="O19" i="1"/>
  <c r="AI19" i="1"/>
  <c r="AI16" i="1"/>
  <c r="E16" i="1"/>
  <c r="E19" i="1"/>
  <c r="E20" i="1" s="1"/>
  <c r="AE16" i="1"/>
  <c r="AE19" i="1"/>
  <c r="Q19" i="1"/>
  <c r="Q16" i="1"/>
  <c r="G16" i="1"/>
  <c r="G19" i="1"/>
  <c r="AJ16" i="1"/>
  <c r="AJ19" i="1"/>
  <c r="F19" i="1"/>
  <c r="F16" i="1"/>
  <c r="AC16" i="1"/>
  <c r="AC19" i="1"/>
  <c r="AC20" i="1" s="1"/>
  <c r="AM14" i="1"/>
  <c r="AM10" i="1"/>
  <c r="AL14" i="1"/>
  <c r="AL10" i="1"/>
  <c r="N19" i="1"/>
  <c r="N16" i="1"/>
  <c r="D16" i="1"/>
  <c r="D19" i="1"/>
  <c r="P16" i="1"/>
  <c r="P19" i="1"/>
  <c r="L16" i="1"/>
  <c r="L19" i="1"/>
  <c r="K20" i="1" s="1"/>
  <c r="H16" i="1"/>
  <c r="H19" i="1"/>
  <c r="H20" i="1" s="1"/>
  <c r="AB13" i="1"/>
  <c r="AB17" i="1"/>
  <c r="V19" i="1"/>
  <c r="V16" i="1"/>
  <c r="B13" i="1"/>
  <c r="B17" i="1"/>
  <c r="AF16" i="1"/>
  <c r="AF19" i="1"/>
  <c r="AH19" i="1"/>
  <c r="AH16" i="1"/>
  <c r="I19" i="1"/>
  <c r="I16" i="1"/>
  <c r="M16" i="1"/>
  <c r="M19" i="1"/>
  <c r="X16" i="1"/>
  <c r="X19" i="1"/>
  <c r="U16" i="1"/>
  <c r="U19" i="1"/>
  <c r="AK16" i="1"/>
  <c r="AK19" i="1"/>
  <c r="T16" i="1"/>
  <c r="T19" i="1"/>
  <c r="T20" i="1" s="1"/>
  <c r="J19" i="1"/>
  <c r="J16" i="1"/>
  <c r="R19" i="1"/>
  <c r="R16" i="1"/>
  <c r="W16" i="1"/>
  <c r="W19" i="1"/>
  <c r="W20" i="1" s="1"/>
  <c r="AG19" i="1"/>
  <c r="AG16" i="1"/>
  <c r="Y19" i="1"/>
  <c r="Y16" i="1"/>
  <c r="B19" i="1" l="1"/>
  <c r="B20" i="1" s="1"/>
  <c r="B26" i="1" s="1"/>
  <c r="B16" i="1"/>
  <c r="Q20" i="1"/>
  <c r="Z20" i="1"/>
  <c r="Z26" i="1" s="1"/>
  <c r="AB16" i="1"/>
  <c r="AB19" i="1"/>
  <c r="AL13" i="1"/>
  <c r="AL17" i="1"/>
  <c r="AF20" i="1"/>
  <c r="AN16" i="1"/>
  <c r="AN19" i="1"/>
  <c r="AN20" i="1" s="1"/>
  <c r="N20" i="1"/>
  <c r="N26" i="1" s="1"/>
  <c r="AM17" i="1"/>
  <c r="AM13" i="1"/>
  <c r="AI20" i="1"/>
  <c r="AL19" i="1" l="1"/>
  <c r="AL20" i="1" s="1"/>
  <c r="AL16" i="1"/>
  <c r="AM16" i="1"/>
  <c r="AM19" i="1"/>
  <c r="AM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投資幕僚長</author>
  </authors>
  <commentList>
    <comment ref="AO19" authorId="0" shapeId="0" xr:uid="{00000000-0006-0000-0000-000001000000}">
      <text>
        <r>
          <rPr>
            <sz val="10"/>
            <rFont val="Noto Sans CJK SC"/>
            <family val="2"/>
          </rPr>
          <t>法人</t>
        </r>
        <r>
          <rPr>
            <sz val="10"/>
            <rFont val="Arial"/>
            <family val="2"/>
          </rPr>
          <t>2026</t>
        </r>
        <r>
          <rPr>
            <sz val="10"/>
            <rFont val="Noto Sans CJK SC"/>
            <family val="2"/>
          </rPr>
          <t>共識</t>
        </r>
        <r>
          <rPr>
            <sz val="10"/>
            <rFont val="Arial"/>
            <family val="2"/>
          </rPr>
          <t>EPS 9.54</t>
        </r>
        <r>
          <rPr>
            <sz val="10"/>
            <rFont val="Noto Sans CJK SC"/>
            <family val="2"/>
          </rPr>
          <t>元（外資</t>
        </r>
        <r>
          <rPr>
            <sz val="10"/>
            <rFont val="Arial"/>
            <family val="2"/>
          </rPr>
          <t>/</t>
        </r>
        <r>
          <rPr>
            <sz val="10"/>
            <rFont val="Noto Sans CJK SC"/>
            <family val="2"/>
          </rPr>
          <t>投顧平均預估，</t>
        </r>
        <r>
          <rPr>
            <sz val="10"/>
            <rFont val="Arial"/>
            <family val="2"/>
          </rPr>
          <t>2026Q2</t>
        </r>
        <r>
          <rPr>
            <sz val="10"/>
            <rFont val="Noto Sans CJK SC"/>
            <family val="2"/>
          </rPr>
          <t>法說會後彙整）</t>
        </r>
      </text>
    </comment>
    <comment ref="AP19" authorId="0" shapeId="0" xr:uid="{00000000-0006-0000-0000-000002000000}">
      <text>
        <r>
          <rPr>
            <sz val="10"/>
            <rFont val="Noto Sans CJK SC"/>
            <family val="2"/>
          </rPr>
          <t>法人</t>
        </r>
        <r>
          <rPr>
            <sz val="10"/>
            <rFont val="Arial"/>
            <family val="2"/>
          </rPr>
          <t>2027</t>
        </r>
        <r>
          <rPr>
            <sz val="10"/>
            <rFont val="Noto Sans CJK SC"/>
            <family val="2"/>
          </rPr>
          <t>共識</t>
        </r>
        <r>
          <rPr>
            <sz val="10"/>
            <rFont val="Arial"/>
            <family val="2"/>
          </rPr>
          <t>EPS 17.14</t>
        </r>
        <r>
          <rPr>
            <sz val="10"/>
            <rFont val="Noto Sans CJK SC"/>
            <family val="2"/>
          </rPr>
          <t>元</t>
        </r>
      </text>
    </comment>
    <comment ref="AQ19" authorId="0" shapeId="0" xr:uid="{00000000-0006-0000-0000-000003000000}">
      <text>
        <r>
          <rPr>
            <sz val="10"/>
            <rFont val="Noto Sans CJK SC"/>
            <family val="2"/>
          </rPr>
          <t>法人</t>
        </r>
        <r>
          <rPr>
            <sz val="10"/>
            <rFont val="Arial"/>
            <family val="2"/>
          </rPr>
          <t>2028 EPS 14.80</t>
        </r>
        <r>
          <rPr>
            <sz val="10"/>
            <rFont val="Noto Sans CJK SC"/>
            <family val="2"/>
          </rPr>
          <t>元（僅一家外資出具，樣本數不足，僅供參考）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<sst xmlns="http://schemas.openxmlformats.org/spreadsheetml/2006/main" count="123" uniqueCount="123">
  <si>
    <t>單位：億元</t>
  </si>
  <si>
    <t>115/01</t>
  </si>
  <si>
    <t>115/02</t>
  </si>
  <si>
    <t>115/03</t>
  </si>
  <si>
    <t>115/04</t>
  </si>
  <si>
    <t>115/05</t>
  </si>
  <si>
    <t>115/06</t>
  </si>
  <si>
    <t>115/07</t>
  </si>
  <si>
    <t>115/08</t>
  </si>
  <si>
    <t>115/09</t>
  </si>
  <si>
    <t>115/10</t>
  </si>
  <si>
    <t>115/11</t>
  </si>
  <si>
    <t>115/12</t>
  </si>
  <si>
    <t>116/01</t>
  </si>
  <si>
    <t>116/02</t>
  </si>
  <si>
    <t>116/03</t>
  </si>
  <si>
    <t>116/04</t>
  </si>
  <si>
    <t>116/05</t>
  </si>
  <si>
    <t>116/06</t>
  </si>
  <si>
    <t>116/07</t>
  </si>
  <si>
    <t>116/08</t>
  </si>
  <si>
    <t>116/09</t>
  </si>
  <si>
    <t>116/10</t>
  </si>
  <si>
    <t>116/11</t>
  </si>
  <si>
    <t>116/12</t>
  </si>
  <si>
    <t>117/01</t>
  </si>
  <si>
    <t>117/02</t>
  </si>
  <si>
    <t>117/03</t>
  </si>
  <si>
    <t>117/04</t>
  </si>
  <si>
    <t>117/05</t>
  </si>
  <si>
    <t>117/06</t>
  </si>
  <si>
    <t>117/07</t>
  </si>
  <si>
    <t>117/08</t>
  </si>
  <si>
    <t>117/09</t>
  </si>
  <si>
    <t>117/10</t>
  </si>
  <si>
    <t>117/11</t>
  </si>
  <si>
    <t>117/12</t>
  </si>
  <si>
    <r>
      <rPr>
        <b/>
        <sz val="10"/>
        <rFont val="Calibri"/>
        <family val="2"/>
      </rPr>
      <t>2026</t>
    </r>
    <r>
      <rPr>
        <b/>
        <sz val="10"/>
        <rFont val="Noto Sans CJK SC"/>
        <family val="2"/>
      </rPr>
      <t>全年</t>
    </r>
  </si>
  <si>
    <r>
      <rPr>
        <b/>
        <sz val="10"/>
        <rFont val="Calibri"/>
        <family val="2"/>
      </rPr>
      <t>2027</t>
    </r>
    <r>
      <rPr>
        <b/>
        <sz val="10"/>
        <rFont val="Noto Sans CJK SC"/>
        <family val="2"/>
      </rPr>
      <t>全年</t>
    </r>
  </si>
  <si>
    <r>
      <rPr>
        <b/>
        <sz val="10"/>
        <rFont val="Calibri"/>
        <family val="2"/>
      </rPr>
      <t>2028</t>
    </r>
    <r>
      <rPr>
        <b/>
        <sz val="10"/>
        <rFont val="Noto Sans CJK SC"/>
        <family val="2"/>
      </rPr>
      <t>全年</t>
    </r>
  </si>
  <si>
    <r>
      <rPr>
        <b/>
        <sz val="10"/>
        <rFont val="Noto Sans CJK SC"/>
        <family val="2"/>
      </rPr>
      <t>法人</t>
    </r>
    <r>
      <rPr>
        <b/>
        <sz val="10"/>
        <rFont val="Calibri"/>
        <family val="2"/>
      </rPr>
      <t>2026</t>
    </r>
    <r>
      <rPr>
        <b/>
        <sz val="10"/>
        <rFont val="Noto Sans CJK SC"/>
        <family val="2"/>
      </rPr>
      <t>共識</t>
    </r>
  </si>
  <si>
    <r>
      <rPr>
        <b/>
        <sz val="10"/>
        <rFont val="Noto Sans CJK SC"/>
        <family val="2"/>
      </rPr>
      <t>法人</t>
    </r>
    <r>
      <rPr>
        <b/>
        <sz val="10"/>
        <rFont val="Calibri"/>
        <family val="2"/>
      </rPr>
      <t>2027</t>
    </r>
    <r>
      <rPr>
        <b/>
        <sz val="10"/>
        <rFont val="Noto Sans CJK SC"/>
        <family val="2"/>
      </rPr>
      <t>共識</t>
    </r>
  </si>
  <si>
    <r>
      <rPr>
        <b/>
        <sz val="10"/>
        <rFont val="Noto Sans CJK SC"/>
        <family val="2"/>
      </rPr>
      <t>法人</t>
    </r>
    <r>
      <rPr>
        <b/>
        <sz val="10"/>
        <rFont val="Calibri"/>
        <family val="2"/>
      </rPr>
      <t>2028(</t>
    </r>
    <r>
      <rPr>
        <b/>
        <sz val="10"/>
        <rFont val="Noto Sans CJK SC"/>
        <family val="2"/>
      </rPr>
      <t>僅一家外資</t>
    </r>
    <r>
      <rPr>
        <b/>
        <sz val="10"/>
        <rFont val="Calibri"/>
        <family val="2"/>
      </rPr>
      <t>)</t>
    </r>
  </si>
  <si>
    <t>營收</t>
  </si>
  <si>
    <t>營業毛利率</t>
  </si>
  <si>
    <t>營業毛利</t>
  </si>
  <si>
    <t>營業費用率</t>
  </si>
  <si>
    <t>營業費用</t>
  </si>
  <si>
    <t>營業利益</t>
  </si>
  <si>
    <t>營業利益率</t>
  </si>
  <si>
    <t>業外收益</t>
  </si>
  <si>
    <t>稅前淨利率</t>
  </si>
  <si>
    <t>稅前淨利</t>
  </si>
  <si>
    <t>所得稅費用</t>
  </si>
  <si>
    <r>
      <rPr>
        <sz val="10"/>
        <rFont val="Noto Sans CJK SC"/>
        <family val="2"/>
      </rPr>
      <t>稅後淨利率</t>
    </r>
    <r>
      <rPr>
        <sz val="10"/>
        <rFont val="Calibri"/>
        <family val="2"/>
      </rPr>
      <t>(</t>
    </r>
    <r>
      <rPr>
        <sz val="10"/>
        <rFont val="Noto Sans CJK SC"/>
        <family val="2"/>
      </rPr>
      <t>全部</t>
    </r>
    <r>
      <rPr>
        <sz val="10"/>
        <rFont val="Calibri"/>
        <family val="2"/>
      </rPr>
      <t>)</t>
    </r>
  </si>
  <si>
    <r>
      <rPr>
        <sz val="10"/>
        <rFont val="Noto Sans CJK SC"/>
        <family val="2"/>
      </rPr>
      <t>稅後淨利</t>
    </r>
    <r>
      <rPr>
        <sz val="10"/>
        <rFont val="Calibri"/>
        <family val="2"/>
      </rPr>
      <t>(</t>
    </r>
    <r>
      <rPr>
        <sz val="10"/>
        <rFont val="Noto Sans CJK SC"/>
        <family val="2"/>
      </rPr>
      <t>全部</t>
    </r>
    <r>
      <rPr>
        <sz val="10"/>
        <rFont val="Calibri"/>
        <family val="2"/>
      </rPr>
      <t>)</t>
    </r>
  </si>
  <si>
    <t>歸屬於母公司比例</t>
  </si>
  <si>
    <r>
      <rPr>
        <sz val="10"/>
        <rFont val="Noto Sans CJK SC"/>
        <family val="2"/>
      </rPr>
      <t>稅後淨利率</t>
    </r>
    <r>
      <rPr>
        <sz val="10"/>
        <rFont val="Calibri"/>
        <family val="2"/>
      </rPr>
      <t>(</t>
    </r>
    <r>
      <rPr>
        <sz val="10"/>
        <rFont val="Noto Sans CJK SC"/>
        <family val="2"/>
      </rPr>
      <t>歸母</t>
    </r>
    <r>
      <rPr>
        <sz val="10"/>
        <rFont val="Calibri"/>
        <family val="2"/>
      </rPr>
      <t>)</t>
    </r>
  </si>
  <si>
    <r>
      <rPr>
        <sz val="10"/>
        <rFont val="Noto Sans CJK SC"/>
        <family val="2"/>
      </rPr>
      <t>稅後淨利</t>
    </r>
    <r>
      <rPr>
        <sz val="10"/>
        <rFont val="Calibri"/>
        <family val="2"/>
      </rPr>
      <t>(</t>
    </r>
    <r>
      <rPr>
        <sz val="10"/>
        <rFont val="Noto Sans CJK SC"/>
        <family val="2"/>
      </rPr>
      <t>歸屬於母公司</t>
    </r>
    <r>
      <rPr>
        <sz val="10"/>
        <rFont val="Calibri"/>
        <family val="2"/>
      </rPr>
      <t>)</t>
    </r>
  </si>
  <si>
    <t>股數</t>
  </si>
  <si>
    <t>EPS</t>
  </si>
  <si>
    <r>
      <rPr>
        <sz val="10"/>
        <rFont val="Calibri"/>
        <family val="2"/>
      </rPr>
      <t>EPS</t>
    </r>
    <r>
      <rPr>
        <sz val="10"/>
        <rFont val="Noto Sans CJK SC"/>
        <family val="2"/>
      </rPr>
      <t>每季</t>
    </r>
  </si>
  <si>
    <t>合約負債</t>
  </si>
  <si>
    <t>應收帳款</t>
  </si>
  <si>
    <r>
      <rPr>
        <sz val="10"/>
        <rFont val="Noto Sans CJK SC"/>
        <family val="2"/>
      </rPr>
      <t>匯率</t>
    </r>
    <r>
      <rPr>
        <sz val="10"/>
        <rFont val="Calibri"/>
        <family val="2"/>
      </rPr>
      <t>(</t>
    </r>
    <r>
      <rPr>
        <sz val="10"/>
        <rFont val="Noto Sans CJK SC"/>
        <family val="2"/>
      </rPr>
      <t>美金</t>
    </r>
    <r>
      <rPr>
        <sz val="10"/>
        <rFont val="Calibri"/>
        <family val="2"/>
      </rPr>
      <t>)</t>
    </r>
  </si>
  <si>
    <t>美元營收</t>
  </si>
  <si>
    <t>現金及約當現金</t>
  </si>
  <si>
    <r>
      <rPr>
        <sz val="10"/>
        <rFont val="Noto Sans CJK SC"/>
        <family val="2"/>
      </rPr>
      <t>年</t>
    </r>
    <r>
      <rPr>
        <sz val="10"/>
        <rFont val="Calibri"/>
        <family val="2"/>
      </rPr>
      <t>EPS</t>
    </r>
  </si>
  <si>
    <t>Note:</t>
  </si>
  <si>
    <r>
      <rPr>
        <sz val="10"/>
        <rFont val="Calibri"/>
        <family val="2"/>
      </rPr>
      <t>2026/01-06</t>
    </r>
    <r>
      <rPr>
        <sz val="10"/>
        <rFont val="Noto Sans CJK SC"/>
        <family val="2"/>
      </rPr>
      <t>營收為公告實際值；</t>
    </r>
    <r>
      <rPr>
        <sz val="10"/>
        <rFont val="Calibri"/>
        <family val="2"/>
      </rPr>
      <t>Q1</t>
    </r>
    <r>
      <rPr>
        <sz val="10"/>
        <rFont val="Noto Sans CJK SC"/>
        <family val="2"/>
      </rPr>
      <t>三率為財報實際；其餘為投資幕僚團隊情境推估（</t>
    </r>
    <r>
      <rPr>
        <sz val="10"/>
        <rFont val="Calibri"/>
        <family val="2"/>
      </rPr>
      <t>20260711</t>
    </r>
    <r>
      <rPr>
        <sz val="10"/>
        <rFont val="Noto Sans CJK SC"/>
        <family val="2"/>
      </rPr>
      <t>），高於法人共識</t>
    </r>
  </si>
  <si>
    <r>
      <rPr>
        <sz val="10"/>
        <rFont val="Calibri"/>
        <family val="2"/>
      </rPr>
      <t>H2</t>
    </r>
    <r>
      <rPr>
        <sz val="10"/>
        <rFont val="Noto Sans CJK SC"/>
        <family val="2"/>
      </rPr>
      <t>動能：</t>
    </r>
    <r>
      <rPr>
        <sz val="10"/>
        <rFont val="Calibri"/>
        <family val="2"/>
      </rPr>
      <t>Intel Oak Stream/AMD Venice</t>
    </r>
    <r>
      <rPr>
        <sz val="10"/>
        <rFont val="Noto Sans CJK SC"/>
        <family val="2"/>
      </rPr>
      <t>平台</t>
    </r>
    <r>
      <rPr>
        <sz val="10"/>
        <rFont val="Calibri"/>
        <family val="2"/>
      </rPr>
      <t>18-22L→20-24L</t>
    </r>
    <r>
      <rPr>
        <sz val="10"/>
        <rFont val="Noto Sans CJK SC"/>
        <family val="2"/>
      </rPr>
      <t>、</t>
    </r>
    <r>
      <rPr>
        <sz val="10"/>
        <rFont val="Calibri"/>
        <family val="2"/>
      </rPr>
      <t>M6→M7</t>
    </r>
    <r>
      <rPr>
        <sz val="10"/>
        <rFont val="Noto Sans CJK SC"/>
        <family val="2"/>
      </rPr>
      <t>、</t>
    </r>
    <r>
      <rPr>
        <sz val="10"/>
        <rFont val="Calibri"/>
        <family val="2"/>
      </rPr>
      <t>ASP+20-30%</t>
    </r>
    <r>
      <rPr>
        <sz val="10"/>
        <rFont val="Noto Sans CJK SC"/>
        <family val="2"/>
      </rPr>
      <t>；稼動率</t>
    </r>
    <r>
      <rPr>
        <sz val="10"/>
        <rFont val="Calibri"/>
        <family val="2"/>
      </rPr>
      <t>Q4</t>
    </r>
    <r>
      <rPr>
        <sz val="10"/>
        <rFont val="Noto Sans CJK SC"/>
        <family val="2"/>
      </rPr>
      <t>上看</t>
    </r>
    <r>
      <rPr>
        <sz val="10"/>
        <rFont val="Calibri"/>
        <family val="2"/>
      </rPr>
      <t>85%</t>
    </r>
    <r>
      <rPr>
        <sz val="10"/>
        <rFont val="Noto Sans CJK SC"/>
        <family val="2"/>
      </rPr>
      <t>（</t>
    </r>
    <r>
      <rPr>
        <sz val="10"/>
        <rFont val="Calibri"/>
        <family val="2"/>
      </rPr>
      <t>E</t>
    </r>
    <r>
      <rPr>
        <sz val="10"/>
        <rFont val="Noto Sans CJK SC"/>
        <family val="2"/>
      </rPr>
      <t>布缺、增量產能配給</t>
    </r>
    <r>
      <rPr>
        <sz val="10"/>
        <rFont val="Calibri"/>
        <family val="2"/>
      </rPr>
      <t>M6+</t>
    </r>
    <r>
      <rPr>
        <sz val="10"/>
        <rFont val="Noto Sans CJK SC"/>
        <family val="2"/>
      </rPr>
      <t>，</t>
    </r>
    <r>
      <rPr>
        <sz val="10"/>
        <rFont val="Calibri"/>
        <family val="2"/>
      </rPr>
      <t>LowDK</t>
    </r>
    <r>
      <rPr>
        <sz val="10"/>
        <rFont val="Noto Sans CJK SC"/>
        <family val="2"/>
      </rPr>
      <t>布相對不缺）</t>
    </r>
  </si>
  <si>
    <r>
      <rPr>
        <sz val="10"/>
        <rFont val="Calibri"/>
        <family val="2"/>
      </rPr>
      <t>2027</t>
    </r>
    <r>
      <rPr>
        <sz val="10"/>
        <rFont val="Noto Sans CJK SC"/>
        <family val="2"/>
      </rPr>
      <t>：</t>
    </r>
    <r>
      <rPr>
        <sz val="10"/>
        <rFont val="Calibri"/>
        <family val="2"/>
      </rPr>
      <t>Starlink(M4/M6/M7)</t>
    </r>
    <r>
      <rPr>
        <sz val="10"/>
        <rFont val="Noto Sans CJK SC"/>
        <family val="2"/>
      </rPr>
      <t>放量＋泰國廠</t>
    </r>
    <r>
      <rPr>
        <sz val="10"/>
        <rFont val="Calibri"/>
        <family val="2"/>
      </rPr>
      <t>60</t>
    </r>
    <r>
      <rPr>
        <sz val="10"/>
        <rFont val="Noto Sans CJK SC"/>
        <family val="2"/>
      </rPr>
      <t>萬張全年＋</t>
    </r>
    <r>
      <rPr>
        <sz val="10"/>
        <rFont val="Calibri"/>
        <family val="2"/>
      </rPr>
      <t>M7</t>
    </r>
    <r>
      <rPr>
        <sz val="10"/>
        <rFont val="Noto Sans CJK SC"/>
        <family val="2"/>
      </rPr>
      <t>佔比續升；</t>
    </r>
    <r>
      <rPr>
        <sz val="10"/>
        <rFont val="Calibri"/>
        <family val="2"/>
      </rPr>
      <t>Google ASIC 27H2</t>
    </r>
    <r>
      <rPr>
        <sz val="10"/>
        <rFont val="Noto Sans CJK SC"/>
        <family val="2"/>
      </rPr>
      <t>起貢獻</t>
    </r>
  </si>
  <si>
    <r>
      <rPr>
        <sz val="10"/>
        <rFont val="Calibri"/>
        <family val="2"/>
      </rPr>
      <t>2028</t>
    </r>
    <r>
      <rPr>
        <sz val="10"/>
        <rFont val="Noto Sans CJK SC"/>
        <family val="2"/>
      </rPr>
      <t>：泰國二廠</t>
    </r>
    <r>
      <rPr>
        <sz val="10"/>
        <rFont val="Calibri"/>
        <family val="2"/>
      </rPr>
      <t>1H28 +60</t>
    </r>
    <r>
      <rPr>
        <sz val="10"/>
        <rFont val="Noto Sans CJK SC"/>
        <family val="2"/>
      </rPr>
      <t>萬張＋</t>
    </r>
    <r>
      <rPr>
        <sz val="10"/>
        <rFont val="Calibri"/>
        <family val="2"/>
      </rPr>
      <t>Google ASIC</t>
    </r>
    <r>
      <rPr>
        <sz val="10"/>
        <rFont val="Noto Sans CJK SC"/>
        <family val="2"/>
      </rPr>
      <t>全年＋</t>
    </r>
    <r>
      <rPr>
        <sz val="10"/>
        <rFont val="Calibri"/>
        <family val="2"/>
      </rPr>
      <t>M9</t>
    </r>
    <r>
      <rPr>
        <sz val="10"/>
        <rFont val="Noto Sans CJK SC"/>
        <family val="2"/>
      </rPr>
      <t>開始貢獻；毛利率向公司口徑「</t>
    </r>
    <r>
      <rPr>
        <sz val="10"/>
        <rFont val="Calibri"/>
        <family val="2"/>
      </rPr>
      <t>E</t>
    </r>
    <r>
      <rPr>
        <sz val="10"/>
        <rFont val="Noto Sans CJK SC"/>
        <family val="2"/>
      </rPr>
      <t>布緩解後</t>
    </r>
    <r>
      <rPr>
        <sz val="10"/>
        <rFont val="Calibri"/>
        <family val="2"/>
      </rPr>
      <t>30%</t>
    </r>
    <r>
      <rPr>
        <sz val="10"/>
        <rFont val="Noto Sans CJK SC"/>
        <family val="2"/>
      </rPr>
      <t>可達成」靠攏</t>
    </r>
  </si>
  <si>
    <r>
      <rPr>
        <sz val="10"/>
        <rFont val="Noto Sans CJK SC"/>
        <family val="2"/>
      </rPr>
      <t>關鍵風險：</t>
    </r>
    <r>
      <rPr>
        <sz val="10"/>
        <rFont val="Calibri"/>
        <family val="2"/>
      </rPr>
      <t>E</t>
    </r>
    <r>
      <rPr>
        <sz val="10"/>
        <rFont val="Noto Sans CJK SC"/>
        <family val="2"/>
      </rPr>
      <t>布短缺惡化壓低稼動率、漲價轉嫁不順、閒置產能非高階可用、稅率高於預估</t>
    </r>
  </si>
  <si>
    <r>
      <t>好，逐項攤開。標記說明：【實際】</t>
    </r>
    <r>
      <rPr>
        <sz val="11"/>
        <color theme="1"/>
        <rFont val="Calibri"/>
        <family val="2"/>
        <charset val="1"/>
      </rPr>
      <t>=</t>
    </r>
    <r>
      <rPr>
        <sz val="11"/>
        <color theme="1"/>
        <rFont val="細明體"/>
        <family val="3"/>
        <charset val="136"/>
      </rPr>
      <t>公告數字、【口徑】</t>
    </r>
    <r>
      <rPr>
        <sz val="11"/>
        <color theme="1"/>
        <rFont val="Calibri"/>
        <family val="2"/>
        <charset val="1"/>
      </rPr>
      <t>=0702</t>
    </r>
    <r>
      <rPr>
        <sz val="11"/>
        <color theme="1"/>
        <rFont val="細明體"/>
        <family val="3"/>
        <charset val="136"/>
      </rPr>
      <t>法說公司說法、【推估】</t>
    </r>
    <r>
      <rPr>
        <sz val="11"/>
        <color theme="1"/>
        <rFont val="Calibri"/>
        <family val="2"/>
        <charset val="1"/>
      </rPr>
      <t>=</t>
    </r>
    <r>
      <rPr>
        <sz val="11"/>
        <color theme="1"/>
        <rFont val="細明體"/>
        <family val="3"/>
        <charset val="136"/>
      </rPr>
      <t>幕僚判斷（可被挑戰的地方）。</t>
    </r>
  </si>
  <si>
    <r>
      <t xml:space="preserve">## </t>
    </r>
    <r>
      <rPr>
        <sz val="11"/>
        <color theme="1"/>
        <rFont val="細明體"/>
        <family val="3"/>
        <charset val="136"/>
      </rPr>
      <t>一、營收</t>
    </r>
  </si>
  <si>
    <r>
      <t>**2026 H2</t>
    </r>
    <r>
      <rPr>
        <sz val="11"/>
        <color theme="1"/>
        <rFont val="細明體"/>
        <family val="3"/>
        <charset val="136"/>
      </rPr>
      <t>（月營收</t>
    </r>
    <r>
      <rPr>
        <sz val="11"/>
        <color theme="1"/>
        <rFont val="Calibri"/>
        <family val="2"/>
        <charset val="1"/>
      </rPr>
      <t>44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51</t>
    </r>
    <r>
      <rPr>
        <sz val="11"/>
        <color theme="1"/>
        <rFont val="細明體"/>
        <family val="3"/>
        <charset val="136"/>
      </rPr>
      <t>億，全年</t>
    </r>
    <r>
      <rPr>
        <sz val="11"/>
        <color theme="1"/>
        <rFont val="Calibri"/>
        <family val="2"/>
        <charset val="1"/>
      </rPr>
      <t>492.7</t>
    </r>
    <r>
      <rPr>
        <sz val="11"/>
        <color theme="1"/>
        <rFont val="細明體"/>
        <family val="3"/>
        <charset val="136"/>
      </rPr>
      <t>億）</t>
    </r>
    <r>
      <rPr>
        <sz val="11"/>
        <color theme="1"/>
        <rFont val="Calibri"/>
        <family val="2"/>
        <charset val="1"/>
      </rPr>
      <t>**</t>
    </r>
  </si>
  <si>
    <r>
      <t xml:space="preserve">- </t>
    </r>
    <r>
      <rPr>
        <sz val="11"/>
        <color theme="1"/>
        <rFont val="細明體"/>
        <family val="3"/>
        <charset val="136"/>
      </rPr>
      <t>起點：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細明體"/>
        <family val="3"/>
        <charset val="136"/>
      </rPr>
      <t>月實際</t>
    </r>
    <r>
      <rPr>
        <sz val="11"/>
        <color theme="1"/>
        <rFont val="Calibri"/>
        <family val="2"/>
        <charset val="1"/>
      </rPr>
      <t>42.14</t>
    </r>
    <r>
      <rPr>
        <sz val="11"/>
        <color theme="1"/>
        <rFont val="細明體"/>
        <family val="3"/>
        <charset val="136"/>
      </rPr>
      <t>億【實際】，</t>
    </r>
    <r>
      <rPr>
        <sz val="11"/>
        <color theme="1"/>
        <rFont val="Calibri"/>
        <family val="2"/>
        <charset val="1"/>
      </rPr>
      <t>YoY +47.9%</t>
    </r>
    <r>
      <rPr>
        <sz val="11"/>
        <color theme="1"/>
        <rFont val="細明體"/>
        <family val="3"/>
        <charset val="136"/>
      </rPr>
      <t>且斜率向上（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Calibri"/>
        <family val="2"/>
        <charset val="1"/>
      </rPr>
      <t>+13.8%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Calibri"/>
        <family val="2"/>
        <charset val="1"/>
      </rPr>
      <t>+29.3%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Calibri"/>
        <family val="2"/>
        <charset val="1"/>
      </rPr>
      <t>+47.9%</t>
    </r>
    <r>
      <rPr>
        <sz val="11"/>
        <color theme="1"/>
        <rFont val="細明體"/>
        <family val="3"/>
        <charset val="136"/>
      </rPr>
      <t>）</t>
    </r>
  </si>
  <si>
    <r>
      <t>- Q3 136.5</t>
    </r>
    <r>
      <rPr>
        <sz val="11"/>
        <color theme="1"/>
        <rFont val="細明體"/>
        <family val="3"/>
        <charset val="136"/>
      </rPr>
      <t>億（</t>
    </r>
    <r>
      <rPr>
        <sz val="11"/>
        <color theme="1"/>
        <rFont val="Calibri"/>
        <family val="2"/>
        <charset val="1"/>
      </rPr>
      <t>QoQ +18.4%</t>
    </r>
    <r>
      <rPr>
        <sz val="11"/>
        <color theme="1"/>
        <rFont val="細明體"/>
        <family val="3"/>
        <charset val="136"/>
      </rPr>
      <t>）：漲價全季化（</t>
    </r>
    <r>
      <rPr>
        <sz val="11"/>
        <color theme="1"/>
        <rFont val="Calibri"/>
        <family val="2"/>
        <charset val="1"/>
      </rPr>
      <t>Q2</t>
    </r>
    <r>
      <rPr>
        <sz val="11"/>
        <color theme="1"/>
        <rFont val="細明體"/>
        <family val="3"/>
        <charset val="136"/>
      </rPr>
      <t>漲</t>
    </r>
    <r>
      <rPr>
        <sz val="11"/>
        <color theme="1"/>
        <rFont val="Calibri"/>
        <family val="2"/>
        <charset val="1"/>
      </rPr>
      <t>30%</t>
    </r>
    <r>
      <rPr>
        <sz val="11"/>
        <color theme="1"/>
        <rFont val="細明體"/>
        <family val="3"/>
        <charset val="136"/>
      </rPr>
      <t>聯茂拿</t>
    </r>
    <r>
      <rPr>
        <sz val="11"/>
        <color theme="1"/>
        <rFont val="Calibri"/>
        <family val="2"/>
        <charset val="1"/>
      </rPr>
      <t>15%</t>
    </r>
    <r>
      <rPr>
        <sz val="11"/>
        <color theme="1"/>
        <rFont val="細明體"/>
        <family val="3"/>
        <charset val="136"/>
      </rPr>
      <t>【口徑】，但</t>
    </r>
    <r>
      <rPr>
        <sz val="11"/>
        <color theme="1"/>
        <rFont val="Calibri"/>
        <family val="2"/>
        <charset val="1"/>
      </rPr>
      <t>Q2</t>
    </r>
    <r>
      <rPr>
        <sz val="11"/>
        <color theme="1"/>
        <rFont val="細明體"/>
        <family val="3"/>
        <charset val="136"/>
      </rPr>
      <t>只吃到部分月份）＋</t>
    </r>
    <r>
      <rPr>
        <sz val="11"/>
        <color theme="1"/>
        <rFont val="Calibri"/>
        <family val="2"/>
        <charset val="1"/>
      </rPr>
      <t>Oak Stream/Venice 2H26</t>
    </r>
    <r>
      <rPr>
        <sz val="11"/>
        <color theme="1"/>
        <rFont val="細明體"/>
        <family val="3"/>
        <charset val="136"/>
      </rPr>
      <t>初期放量＋稼動率</t>
    </r>
    <r>
      <rPr>
        <sz val="11"/>
        <color theme="1"/>
        <rFont val="Calibri"/>
        <family val="2"/>
        <charset val="1"/>
      </rPr>
      <t>75%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80%</t>
    </r>
    <r>
      <rPr>
        <sz val="11"/>
        <color theme="1"/>
        <rFont val="細明體"/>
        <family val="3"/>
        <charset val="136"/>
      </rPr>
      <t>爬坡。月增速取</t>
    </r>
    <r>
      <rPr>
        <sz val="11"/>
        <color theme="1"/>
        <rFont val="Calibri"/>
        <family val="2"/>
        <charset val="1"/>
      </rPr>
      <t>+3~4% MoM</t>
    </r>
    <r>
      <rPr>
        <sz val="11"/>
        <color theme="1"/>
        <rFont val="細明體"/>
        <family val="3"/>
        <charset val="136"/>
      </rPr>
      <t>，遠低於</t>
    </r>
    <r>
      <rPr>
        <sz val="11"/>
        <color theme="1"/>
        <rFont val="Calibri"/>
        <family val="2"/>
        <charset val="1"/>
      </rPr>
      <t>H1</t>
    </r>
    <r>
      <rPr>
        <sz val="11"/>
        <color theme="1"/>
        <rFont val="細明體"/>
        <family val="3"/>
        <charset val="136"/>
      </rPr>
      <t>實際斜率（</t>
    </r>
    <r>
      <rPr>
        <sz val="11"/>
        <color theme="1"/>
        <rFont val="Calibri"/>
        <family val="2"/>
        <charset val="1"/>
      </rPr>
      <t>1-6</t>
    </r>
    <r>
      <rPr>
        <sz val="11"/>
        <color theme="1"/>
        <rFont val="細明體"/>
        <family val="3"/>
        <charset val="136"/>
      </rPr>
      <t>月累計</t>
    </r>
    <r>
      <rPr>
        <sz val="11"/>
        <color theme="1"/>
        <rFont val="Calibri"/>
        <family val="2"/>
        <charset val="1"/>
      </rPr>
      <t>+33%</t>
    </r>
    <r>
      <rPr>
        <sz val="11"/>
        <color theme="1"/>
        <rFont val="細明體"/>
        <family val="3"/>
        <charset val="136"/>
      </rPr>
      <t>），屬收斂假設</t>
    </r>
  </si>
  <si>
    <r>
      <t>- Q4 149.5</t>
    </r>
    <r>
      <rPr>
        <sz val="11"/>
        <color theme="1"/>
        <rFont val="細明體"/>
        <family val="3"/>
        <charset val="136"/>
      </rPr>
      <t>億（</t>
    </r>
    <r>
      <rPr>
        <sz val="11"/>
        <color theme="1"/>
        <rFont val="Calibri"/>
        <family val="2"/>
        <charset val="1"/>
      </rPr>
      <t>QoQ +9.5%</t>
    </r>
    <r>
      <rPr>
        <sz val="11"/>
        <color theme="1"/>
        <rFont val="細明體"/>
        <family val="3"/>
        <charset val="136"/>
      </rPr>
      <t>）：刻意放慢</t>
    </r>
    <r>
      <rPr>
        <sz val="11"/>
        <color theme="1"/>
        <rFont val="Calibri"/>
        <family val="2"/>
        <charset val="1"/>
      </rPr>
      <t>——</t>
    </r>
    <r>
      <rPr>
        <sz val="11"/>
        <color theme="1"/>
        <rFont val="細明體"/>
        <family val="3"/>
        <charset val="136"/>
      </rPr>
      <t>稼動率被公司口徑「不超過</t>
    </r>
    <r>
      <rPr>
        <sz val="11"/>
        <color theme="1"/>
        <rFont val="Calibri"/>
        <family val="2"/>
        <charset val="1"/>
      </rPr>
      <t>85%</t>
    </r>
    <r>
      <rPr>
        <sz val="11"/>
        <color theme="1"/>
        <rFont val="細明體"/>
        <family val="3"/>
        <charset val="136"/>
      </rPr>
      <t>」封頂【口徑】，量增有限，</t>
    </r>
    <r>
      <rPr>
        <sz val="11"/>
        <color theme="1"/>
        <rFont val="Calibri"/>
        <family val="2"/>
        <charset val="1"/>
      </rPr>
      <t>Q4</t>
    </r>
    <r>
      <rPr>
        <sz val="11"/>
        <color theme="1"/>
        <rFont val="細明體"/>
        <family val="3"/>
        <charset val="136"/>
      </rPr>
      <t>增量主要靠</t>
    </r>
    <r>
      <rPr>
        <sz val="11"/>
        <color theme="1"/>
        <rFont val="Calibri"/>
        <family val="2"/>
        <charset val="1"/>
      </rPr>
      <t>mix/ASP</t>
    </r>
    <r>
      <rPr>
        <sz val="11"/>
        <color theme="1"/>
        <rFont val="細明體"/>
        <family val="3"/>
        <charset val="136"/>
      </rPr>
      <t>。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Calibri"/>
        <family val="2"/>
        <charset val="1"/>
      </rPr>
      <t>51</t>
    </r>
    <r>
      <rPr>
        <sz val="11"/>
        <color theme="1"/>
        <rFont val="細明體"/>
        <family val="3"/>
        <charset val="136"/>
      </rPr>
      <t>億</t>
    </r>
    <r>
      <rPr>
        <sz val="11"/>
        <color theme="1"/>
        <rFont val="Calibri"/>
        <family val="2"/>
        <charset val="1"/>
      </rPr>
      <t xml:space="preserve"> vs </t>
    </r>
    <r>
      <rPr>
        <sz val="11"/>
        <color theme="1"/>
        <rFont val="細明體"/>
        <family val="3"/>
        <charset val="136"/>
      </rPr>
      <t>去年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Calibri"/>
        <family val="2"/>
        <charset val="1"/>
      </rPr>
      <t>31.7</t>
    </r>
    <r>
      <rPr>
        <sz val="11"/>
        <color theme="1"/>
        <rFont val="細明體"/>
        <family val="3"/>
        <charset val="136"/>
      </rPr>
      <t>億</t>
    </r>
    <r>
      <rPr>
        <sz val="11"/>
        <color theme="1"/>
        <rFont val="Calibri"/>
        <family val="2"/>
        <charset val="1"/>
      </rPr>
      <t>=+61% YoY</t>
    </r>
    <r>
      <rPr>
        <sz val="11"/>
        <color theme="1"/>
        <rFont val="細明體"/>
        <family val="3"/>
        <charset val="136"/>
      </rPr>
      <t>，與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Calibri"/>
        <family val="2"/>
        <charset val="1"/>
      </rPr>
      <t>+47.9%</t>
    </r>
    <r>
      <rPr>
        <sz val="11"/>
        <color theme="1"/>
        <rFont val="細明體"/>
        <family val="3"/>
        <charset val="136"/>
      </rPr>
      <t>的斜率延伸一致</t>
    </r>
  </si>
  <si>
    <r>
      <t xml:space="preserve">- </t>
    </r>
    <r>
      <rPr>
        <sz val="11"/>
        <color theme="1"/>
        <rFont val="細明體"/>
        <family val="3"/>
        <charset val="136"/>
      </rPr>
      <t>全年</t>
    </r>
    <r>
      <rPr>
        <sz val="11"/>
        <color theme="1"/>
        <rFont val="Calibri"/>
        <family val="2"/>
        <charset val="1"/>
      </rPr>
      <t xml:space="preserve">492.7 vs </t>
    </r>
    <r>
      <rPr>
        <sz val="11"/>
        <color theme="1"/>
        <rFont val="細明體"/>
        <family val="3"/>
        <charset val="136"/>
      </rPr>
      <t>共識</t>
    </r>
    <r>
      <rPr>
        <sz val="11"/>
        <color theme="1"/>
        <rFont val="Calibri"/>
        <family val="2"/>
        <charset val="1"/>
      </rPr>
      <t>463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Calibri"/>
        <family val="2"/>
        <charset val="1"/>
      </rPr>
      <t>+6.4%</t>
    </r>
    <r>
      <rPr>
        <sz val="11"/>
        <color theme="1"/>
        <rFont val="細明體"/>
        <family val="3"/>
        <charset val="136"/>
      </rPr>
      <t>，差異來源是</t>
    </r>
    <r>
      <rPr>
        <sz val="11"/>
        <color theme="1"/>
        <rFont val="Calibri"/>
        <family val="2"/>
        <charset val="1"/>
      </rPr>
      <t>Q2</t>
    </r>
    <r>
      <rPr>
        <sz val="11"/>
        <color theme="1"/>
        <rFont val="細明體"/>
        <family val="3"/>
        <charset val="136"/>
      </rPr>
      <t>實際數（共識未及反映）＋</t>
    </r>
    <r>
      <rPr>
        <sz val="11"/>
        <color theme="1"/>
        <rFont val="Calibri"/>
        <family val="2"/>
        <charset val="1"/>
      </rPr>
      <t>85%</t>
    </r>
    <r>
      <rPr>
        <sz val="11"/>
        <color theme="1"/>
        <rFont val="細明體"/>
        <family val="3"/>
        <charset val="136"/>
      </rPr>
      <t>稼動口徑</t>
    </r>
  </si>
  <si>
    <r>
      <t xml:space="preserve">- </t>
    </r>
    <r>
      <rPr>
        <sz val="11"/>
        <color theme="1"/>
        <rFont val="細明體"/>
        <family val="3"/>
        <charset val="136"/>
      </rPr>
      <t>隱含</t>
    </r>
    <r>
      <rPr>
        <sz val="11"/>
        <color theme="1"/>
        <rFont val="Calibri"/>
        <family val="2"/>
        <charset val="1"/>
      </rPr>
      <t>H2 YoY +72%</t>
    </r>
    <r>
      <rPr>
        <sz val="11"/>
        <color theme="1"/>
        <rFont val="細明體"/>
        <family val="3"/>
        <charset val="136"/>
      </rPr>
      <t>（</t>
    </r>
    <r>
      <rPr>
        <sz val="11"/>
        <color theme="1"/>
        <rFont val="Calibri"/>
        <family val="2"/>
        <charset val="1"/>
      </rPr>
      <t>vs 25H2 166</t>
    </r>
    <r>
      <rPr>
        <sz val="11"/>
        <color theme="1"/>
        <rFont val="細明體"/>
        <family val="3"/>
        <charset val="136"/>
      </rPr>
      <t>億）：整個模型裡最陡的一段，靠月營收逐月驗證</t>
    </r>
  </si>
  <si>
    <r>
      <t>**2027</t>
    </r>
    <r>
      <rPr>
        <sz val="11"/>
        <color theme="1"/>
        <rFont val="細明體"/>
        <family val="3"/>
        <charset val="136"/>
      </rPr>
      <t>（</t>
    </r>
    <r>
      <rPr>
        <sz val="11"/>
        <color theme="1"/>
        <rFont val="Calibri"/>
        <family val="2"/>
        <charset val="1"/>
      </rPr>
      <t>640</t>
    </r>
    <r>
      <rPr>
        <sz val="11"/>
        <color theme="1"/>
        <rFont val="細明體"/>
        <family val="3"/>
        <charset val="136"/>
      </rPr>
      <t>億，</t>
    </r>
    <r>
      <rPr>
        <sz val="11"/>
        <color theme="1"/>
        <rFont val="Calibri"/>
        <family val="2"/>
        <charset val="1"/>
      </rPr>
      <t>+29.9%</t>
    </r>
    <r>
      <rPr>
        <sz val="11"/>
        <color theme="1"/>
        <rFont val="細明體"/>
        <family val="3"/>
        <charset val="136"/>
      </rPr>
      <t>）＝量</t>
    </r>
    <r>
      <rPr>
        <sz val="11"/>
        <color theme="1"/>
        <rFont val="Calibri"/>
        <family val="2"/>
        <charset val="1"/>
      </rPr>
      <t xml:space="preserve">+15% × </t>
    </r>
    <r>
      <rPr>
        <sz val="11"/>
        <color theme="1"/>
        <rFont val="細明體"/>
        <family val="3"/>
        <charset val="136"/>
      </rPr>
      <t>價</t>
    </r>
    <r>
      <rPr>
        <sz val="11"/>
        <color theme="1"/>
        <rFont val="Calibri"/>
        <family val="2"/>
        <charset val="1"/>
      </rPr>
      <t>/mix +13%**</t>
    </r>
  </si>
  <si>
    <r>
      <t xml:space="preserve">- </t>
    </r>
    <r>
      <rPr>
        <sz val="11"/>
        <color theme="1"/>
        <rFont val="細明體"/>
        <family val="3"/>
        <charset val="136"/>
      </rPr>
      <t>量：泰國廠</t>
    </r>
    <r>
      <rPr>
        <sz val="11"/>
        <color theme="1"/>
        <rFont val="Calibri"/>
        <family val="2"/>
        <charset val="1"/>
      </rPr>
      <t>60</t>
    </r>
    <r>
      <rPr>
        <sz val="11"/>
        <color theme="1"/>
        <rFont val="細明體"/>
        <family val="3"/>
        <charset val="136"/>
      </rPr>
      <t>萬張全年化（</t>
    </r>
    <r>
      <rPr>
        <sz val="11"/>
        <color theme="1"/>
        <rFont val="Calibri"/>
        <family val="2"/>
        <charset val="1"/>
      </rPr>
      <t>26</t>
    </r>
    <r>
      <rPr>
        <sz val="11"/>
        <color theme="1"/>
        <rFont val="細明體"/>
        <family val="3"/>
        <charset val="136"/>
      </rPr>
      <t>年平均只有</t>
    </r>
    <r>
      <rPr>
        <sz val="11"/>
        <color theme="1"/>
        <rFont val="Calibri"/>
        <family val="2"/>
        <charset val="1"/>
      </rPr>
      <t>40</t>
    </r>
    <r>
      <rPr>
        <sz val="11"/>
        <color theme="1"/>
        <rFont val="細明體"/>
        <family val="3"/>
        <charset val="136"/>
      </rPr>
      <t>萬）【口徑】＋稼動率</t>
    </r>
    <r>
      <rPr>
        <sz val="11"/>
        <color theme="1"/>
        <rFont val="Calibri"/>
        <family val="2"/>
        <charset val="1"/>
      </rPr>
      <t>75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85-90%</t>
    </r>
    <r>
      <rPr>
        <sz val="11"/>
        <color theme="1"/>
        <rFont val="細明體"/>
        <family val="3"/>
        <charset val="136"/>
      </rPr>
      <t>（</t>
    </r>
    <r>
      <rPr>
        <sz val="11"/>
        <color theme="1"/>
        <rFont val="Calibri"/>
        <family val="2"/>
        <charset val="1"/>
      </rPr>
      <t>E</t>
    </r>
    <r>
      <rPr>
        <sz val="11"/>
        <color theme="1"/>
        <rFont val="細明體"/>
        <family val="3"/>
        <charset val="136"/>
      </rPr>
      <t>布逐步緩解）→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細明體"/>
        <family val="3"/>
        <charset val="136"/>
      </rPr>
      <t>約</t>
    </r>
    <r>
      <rPr>
        <sz val="11"/>
        <color theme="1"/>
        <rFont val="Calibri"/>
        <family val="2"/>
        <charset val="1"/>
      </rPr>
      <t>+15%</t>
    </r>
  </si>
  <si>
    <r>
      <t xml:space="preserve">- </t>
    </r>
    <r>
      <rPr>
        <sz val="11"/>
        <color theme="1"/>
        <rFont val="細明體"/>
        <family val="3"/>
        <charset val="136"/>
      </rPr>
      <t>價</t>
    </r>
    <r>
      <rPr>
        <sz val="11"/>
        <color theme="1"/>
        <rFont val="Calibri"/>
        <family val="2"/>
        <charset val="1"/>
      </rPr>
      <t>/mix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Calibri"/>
        <family val="2"/>
        <charset val="1"/>
      </rPr>
      <t>M6+</t>
    </r>
    <r>
      <rPr>
        <sz val="11"/>
        <color theme="1"/>
        <rFont val="細明體"/>
        <family val="3"/>
        <charset val="136"/>
      </rPr>
      <t>占比</t>
    </r>
    <r>
      <rPr>
        <sz val="11"/>
        <color theme="1"/>
        <rFont val="Calibri"/>
        <family val="2"/>
        <charset val="1"/>
      </rPr>
      <t>+15-20ppt</t>
    </r>
    <r>
      <rPr>
        <sz val="11"/>
        <color theme="1"/>
        <rFont val="細明體"/>
        <family val="3"/>
        <charset val="136"/>
      </rPr>
      <t>（你的不對稱缺料框架）</t>
    </r>
    <r>
      <rPr>
        <sz val="11"/>
        <color theme="1"/>
        <rFont val="Calibri"/>
        <family val="2"/>
        <charset val="1"/>
      </rPr>
      <t>×M7 ASP</t>
    </r>
    <r>
      <rPr>
        <sz val="11"/>
        <color theme="1"/>
        <rFont val="細明體"/>
        <family val="3"/>
        <charset val="136"/>
      </rPr>
      <t>約低階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細明體"/>
        <family val="3"/>
        <charset val="136"/>
      </rPr>
      <t>倍＋</t>
    </r>
    <r>
      <rPr>
        <sz val="11"/>
        <color theme="1"/>
        <rFont val="Calibri"/>
        <family val="2"/>
        <charset val="1"/>
      </rPr>
      <t>Starlink M4/M6/M7</t>
    </r>
    <r>
      <rPr>
        <sz val="11"/>
        <color theme="1"/>
        <rFont val="細明體"/>
        <family val="3"/>
        <charset val="136"/>
      </rPr>
      <t>放量【口徑】＋</t>
    </r>
    <r>
      <rPr>
        <sz val="11"/>
        <color theme="1"/>
        <rFont val="Calibri"/>
        <family val="2"/>
        <charset val="1"/>
      </rPr>
      <t>Oak Stream/Venice</t>
    </r>
    <r>
      <rPr>
        <sz val="11"/>
        <color theme="1"/>
        <rFont val="細明體"/>
        <family val="3"/>
        <charset val="136"/>
      </rPr>
      <t>全年化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 xml:space="preserve"> ASP</t>
    </r>
    <r>
      <rPr>
        <sz val="11"/>
        <color theme="1"/>
        <rFont val="細明體"/>
        <family val="3"/>
        <charset val="136"/>
      </rPr>
      <t>約</t>
    </r>
    <r>
      <rPr>
        <sz val="11"/>
        <color theme="1"/>
        <rFont val="Calibri"/>
        <family val="2"/>
        <charset val="1"/>
      </rPr>
      <t>+13%</t>
    </r>
  </si>
  <si>
    <r>
      <t>- 1.15×1.13</t>
    </r>
    <r>
      <rPr>
        <sz val="11"/>
        <color theme="1"/>
        <rFont val="NSimSun"/>
        <family val="3"/>
        <charset val="134"/>
      </rPr>
      <t>≈</t>
    </r>
    <r>
      <rPr>
        <sz val="11"/>
        <color theme="1"/>
        <rFont val="Calibri"/>
        <family val="2"/>
        <charset val="1"/>
      </rPr>
      <t>1.30</t>
    </r>
    <r>
      <rPr>
        <sz val="11"/>
        <color theme="1"/>
        <rFont val="細明體"/>
        <family val="3"/>
        <charset val="136"/>
      </rPr>
      <t>。共識營收</t>
    </r>
    <r>
      <rPr>
        <sz val="11"/>
        <color theme="1"/>
        <rFont val="Calibri"/>
        <family val="2"/>
        <charset val="1"/>
      </rPr>
      <t>628</t>
    </r>
    <r>
      <rPr>
        <sz val="11"/>
        <color theme="1"/>
        <rFont val="細明體"/>
        <family val="3"/>
        <charset val="136"/>
      </rPr>
      <t>億，我們在共識上緣（最新</t>
    </r>
    <r>
      <rPr>
        <sz val="11"/>
        <color theme="1"/>
        <rFont val="Calibri"/>
        <family val="2"/>
        <charset val="1"/>
      </rPr>
      <t>A16</t>
    </r>
    <r>
      <rPr>
        <sz val="11"/>
        <color theme="1"/>
        <rFont val="細明體"/>
        <family val="3"/>
        <charset val="136"/>
      </rPr>
      <t>的</t>
    </r>
    <r>
      <rPr>
        <sz val="11"/>
        <color theme="1"/>
        <rFont val="Calibri"/>
        <family val="2"/>
        <charset val="1"/>
      </rPr>
      <t>EPS 20.2</t>
    </r>
    <r>
      <rPr>
        <sz val="11"/>
        <color theme="1"/>
        <rFont val="細明體"/>
        <family val="3"/>
        <charset val="136"/>
      </rPr>
      <t>隱含營收可能已在</t>
    </r>
    <r>
      <rPr>
        <sz val="11"/>
        <color theme="1"/>
        <rFont val="Calibri"/>
        <family val="2"/>
        <charset val="1"/>
      </rPr>
      <t>650+</t>
    </r>
    <r>
      <rPr>
        <sz val="11"/>
        <color theme="1"/>
        <rFont val="細明體"/>
        <family val="3"/>
        <charset val="136"/>
      </rPr>
      <t>）</t>
    </r>
  </si>
  <si>
    <r>
      <t>**2028</t>
    </r>
    <r>
      <rPr>
        <sz val="11"/>
        <color theme="1"/>
        <rFont val="細明體"/>
        <family val="3"/>
        <charset val="136"/>
      </rPr>
      <t>（</t>
    </r>
    <r>
      <rPr>
        <sz val="11"/>
        <color theme="1"/>
        <rFont val="Calibri"/>
        <family val="2"/>
        <charset val="1"/>
      </rPr>
      <t>800</t>
    </r>
    <r>
      <rPr>
        <sz val="11"/>
        <color theme="1"/>
        <rFont val="細明體"/>
        <family val="3"/>
        <charset val="136"/>
      </rPr>
      <t>億，</t>
    </r>
    <r>
      <rPr>
        <sz val="11"/>
        <color theme="1"/>
        <rFont val="Calibri"/>
        <family val="2"/>
        <charset val="1"/>
      </rPr>
      <t>+25%</t>
    </r>
    <r>
      <rPr>
        <sz val="11"/>
        <color theme="1"/>
        <rFont val="細明體"/>
        <family val="3"/>
        <charset val="136"/>
      </rPr>
      <t>）＝量</t>
    </r>
    <r>
      <rPr>
        <sz val="11"/>
        <color theme="1"/>
        <rFont val="Calibri"/>
        <family val="2"/>
        <charset val="1"/>
      </rPr>
      <t>+13% × mix +10%**</t>
    </r>
  </si>
  <si>
    <r>
      <t xml:space="preserve">- </t>
    </r>
    <r>
      <rPr>
        <sz val="11"/>
        <color theme="1"/>
        <rFont val="細明體"/>
        <family val="3"/>
        <charset val="136"/>
      </rPr>
      <t>泰國二廠</t>
    </r>
    <r>
      <rPr>
        <sz val="11"/>
        <color theme="1"/>
        <rFont val="Calibri"/>
        <family val="2"/>
        <charset val="1"/>
      </rPr>
      <t>1H28 +60</t>
    </r>
    <r>
      <rPr>
        <sz val="11"/>
        <color theme="1"/>
        <rFont val="細明體"/>
        <family val="3"/>
        <charset val="136"/>
      </rPr>
      <t>萬張【口徑】，爬坡年只計部分貢獻</t>
    </r>
  </si>
  <si>
    <r>
      <t>- Google ASIC</t>
    </r>
    <r>
      <rPr>
        <sz val="11"/>
        <color theme="1"/>
        <rFont val="細明體"/>
        <family val="3"/>
        <charset val="136"/>
      </rPr>
      <t>全年化（</t>
    </r>
    <r>
      <rPr>
        <sz val="11"/>
        <color theme="1"/>
        <rFont val="Calibri"/>
        <family val="2"/>
        <charset val="1"/>
      </rPr>
      <t>27H2</t>
    </r>
    <r>
      <rPr>
        <sz val="11"/>
        <color theme="1"/>
        <rFont val="細明體"/>
        <family val="3"/>
        <charset val="136"/>
      </rPr>
      <t>起貢獻【口徑】）＋</t>
    </r>
    <r>
      <rPr>
        <sz val="11"/>
        <color theme="1"/>
        <rFont val="Calibri"/>
        <family val="2"/>
        <charset val="1"/>
      </rPr>
      <t>M9</t>
    </r>
    <r>
      <rPr>
        <sz val="11"/>
        <color theme="1"/>
        <rFont val="細明體"/>
        <family val="3"/>
        <charset val="136"/>
      </rPr>
      <t>起量＋衛星第二年</t>
    </r>
  </si>
  <si>
    <r>
      <t xml:space="preserve">## </t>
    </r>
    <r>
      <rPr>
        <sz val="11"/>
        <color theme="1"/>
        <rFont val="細明體"/>
        <family val="3"/>
        <charset val="136"/>
      </rPr>
      <t>二、毛利率（模型的心臟）</t>
    </r>
  </si>
  <si>
    <r>
      <t>- 26Q1 11.42%</t>
    </r>
    <r>
      <rPr>
        <sz val="11"/>
        <color theme="1"/>
        <rFont val="細明體"/>
        <family val="3"/>
        <charset val="136"/>
      </rPr>
      <t>【實際】</t>
    </r>
  </si>
  <si>
    <r>
      <t>- 26Q2 19.5%</t>
    </r>
    <r>
      <rPr>
        <sz val="11"/>
        <color theme="1"/>
        <rFont val="細明體"/>
        <family val="3"/>
        <charset val="136"/>
      </rPr>
      <t>：公司口徑「接近</t>
    </r>
    <r>
      <rPr>
        <sz val="11"/>
        <color theme="1"/>
        <rFont val="Calibri"/>
        <family val="2"/>
        <charset val="1"/>
      </rPr>
      <t>20%</t>
    </r>
    <r>
      <rPr>
        <sz val="11"/>
        <color theme="1"/>
        <rFont val="細明體"/>
        <family val="3"/>
        <charset val="136"/>
      </rPr>
      <t>」【口徑】折讓</t>
    </r>
    <r>
      <rPr>
        <sz val="11"/>
        <color theme="1"/>
        <rFont val="Calibri"/>
        <family val="2"/>
        <charset val="1"/>
      </rPr>
      <t>0.5ppt</t>
    </r>
    <r>
      <rPr>
        <sz val="11"/>
        <color theme="1"/>
        <rFont val="細明體"/>
        <family val="3"/>
        <charset val="136"/>
      </rPr>
      <t>；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細明體"/>
        <family val="3"/>
        <charset val="136"/>
      </rPr>
      <t>月單月淨利率</t>
    </r>
    <r>
      <rPr>
        <sz val="11"/>
        <color theme="1"/>
        <rFont val="Calibri"/>
        <family val="2"/>
        <charset val="1"/>
      </rPr>
      <t>11.5%</t>
    </r>
    <r>
      <rPr>
        <sz val="11"/>
        <color theme="1"/>
        <rFont val="細明體"/>
        <family val="3"/>
        <charset val="136"/>
      </rPr>
      <t>自結為佐證</t>
    </r>
  </si>
  <si>
    <r>
      <t>- 26Q4 22.5%</t>
    </r>
    <r>
      <rPr>
        <sz val="11"/>
        <color theme="1"/>
        <rFont val="細明體"/>
        <family val="3"/>
        <charset val="136"/>
      </rPr>
      <t>：稼動</t>
    </r>
    <r>
      <rPr>
        <sz val="11"/>
        <color theme="1"/>
        <rFont val="Calibri"/>
        <family val="2"/>
        <charset val="1"/>
      </rPr>
      <t>85%</t>
    </r>
    <r>
      <rPr>
        <sz val="11"/>
        <color theme="1"/>
        <rFont val="細明體"/>
        <family val="3"/>
        <charset val="136"/>
      </rPr>
      <t>攤提＋</t>
    </r>
    <r>
      <rPr>
        <sz val="11"/>
        <color theme="1"/>
        <rFont val="Calibri"/>
        <family val="2"/>
        <charset val="1"/>
      </rPr>
      <t>Venice/Oak Stream</t>
    </r>
    <r>
      <rPr>
        <sz val="11"/>
        <color theme="1"/>
        <rFont val="細明體"/>
        <family val="3"/>
        <charset val="136"/>
      </rPr>
      <t>出貨＋</t>
    </r>
    <r>
      <rPr>
        <sz val="11"/>
        <color theme="1"/>
        <rFont val="Calibri"/>
        <family val="2"/>
        <charset val="1"/>
      </rPr>
      <t>M6+</t>
    </r>
    <r>
      <rPr>
        <sz val="11"/>
        <color theme="1"/>
        <rFont val="細明體"/>
        <family val="3"/>
        <charset val="136"/>
      </rPr>
      <t>占比向</t>
    </r>
    <r>
      <rPr>
        <sz val="11"/>
        <color theme="1"/>
        <rFont val="Calibri"/>
        <family val="2"/>
        <charset val="1"/>
      </rPr>
      <t>45%</t>
    </r>
    <r>
      <rPr>
        <sz val="11"/>
        <color theme="1"/>
        <rFont val="細明體"/>
        <family val="3"/>
        <charset val="136"/>
      </rPr>
      <t>靠攏。注意這裡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細明體"/>
        <family val="3"/>
        <charset val="136"/>
      </rPr>
      <t>突破了聯茂上一輪循環高點（</t>
    </r>
    <r>
      <rPr>
        <sz val="11"/>
        <color theme="1"/>
        <rFont val="Calibri"/>
        <family val="2"/>
        <charset val="1"/>
      </rPr>
      <t>2020-21</t>
    </r>
    <r>
      <rPr>
        <sz val="11"/>
        <color theme="1"/>
        <rFont val="細明體"/>
        <family val="3"/>
        <charset val="136"/>
      </rPr>
      <t>約</t>
    </r>
    <r>
      <rPr>
        <sz val="11"/>
        <color theme="1"/>
        <rFont val="Calibri"/>
        <family val="2"/>
        <charset val="1"/>
      </rPr>
      <t>20-21%</t>
    </r>
    <r>
      <rPr>
        <sz val="11"/>
        <color theme="1"/>
        <rFont val="細明體"/>
        <family val="3"/>
        <charset val="136"/>
      </rPr>
      <t>）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細明體"/>
        <family val="3"/>
        <charset val="136"/>
      </rPr>
      <t>，敢破前高的依據是本輪多了</t>
    </r>
    <r>
      <rPr>
        <sz val="11"/>
        <color theme="1"/>
        <rFont val="Calibri"/>
        <family val="2"/>
        <charset val="1"/>
      </rPr>
      <t>mix</t>
    </r>
    <r>
      <rPr>
        <sz val="11"/>
        <color theme="1"/>
        <rFont val="細明體"/>
        <family val="3"/>
        <charset val="136"/>
      </rPr>
      <t>升級，上輪只有漲價</t>
    </r>
  </si>
  <si>
    <r>
      <t>- 27</t>
    </r>
    <r>
      <rPr>
        <sz val="11"/>
        <color theme="1"/>
        <rFont val="細明體"/>
        <family val="3"/>
        <charset val="136"/>
      </rPr>
      <t>年</t>
    </r>
    <r>
      <rPr>
        <sz val="11"/>
        <color theme="1"/>
        <rFont val="Calibri"/>
        <family val="2"/>
        <charset val="1"/>
      </rPr>
      <t>23.5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26.0%</t>
    </r>
    <r>
      <rPr>
        <sz val="11"/>
        <color theme="1"/>
        <rFont val="細明體"/>
        <family val="3"/>
        <charset val="136"/>
      </rPr>
      <t>（每季</t>
    </r>
    <r>
      <rPr>
        <sz val="11"/>
        <color theme="1"/>
        <rFont val="Calibri"/>
        <family val="2"/>
        <charset val="1"/>
      </rPr>
      <t>+1ppt</t>
    </r>
    <r>
      <rPr>
        <sz val="11"/>
        <color theme="1"/>
        <rFont val="細明體"/>
        <family val="3"/>
        <charset val="136"/>
      </rPr>
      <t>）：雙驅動</t>
    </r>
    <r>
      <rPr>
        <sz val="11"/>
        <color theme="1"/>
        <rFont val="Calibri"/>
        <family val="2"/>
        <charset val="1"/>
      </rPr>
      <t>——E</t>
    </r>
    <r>
      <rPr>
        <sz val="11"/>
        <color theme="1"/>
        <rFont val="細明體"/>
        <family val="3"/>
        <charset val="136"/>
      </rPr>
      <t>布「</t>
    </r>
    <r>
      <rPr>
        <sz val="11"/>
        <color theme="1"/>
        <rFont val="Calibri"/>
        <family val="2"/>
        <charset val="1"/>
      </rPr>
      <t>6-12</t>
    </r>
    <r>
      <rPr>
        <sz val="11"/>
        <color theme="1"/>
        <rFont val="細明體"/>
        <family val="3"/>
        <charset val="136"/>
      </rPr>
      <t>個月不會完全緩解」【口徑】意味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細明體"/>
        <family val="3"/>
        <charset val="136"/>
      </rPr>
      <t>年中後鬆動＋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細明體"/>
        <family val="3"/>
        <charset val="136"/>
      </rPr>
      <t>占比爬坡。</t>
    </r>
    <r>
      <rPr>
        <sz val="11"/>
        <color theme="1"/>
        <rFont val="Calibri"/>
        <family val="2"/>
        <charset val="1"/>
      </rPr>
      <t>27Q4</t>
    </r>
    <r>
      <rPr>
        <sz val="11"/>
        <color theme="1"/>
        <rFont val="細明體"/>
        <family val="3"/>
        <charset val="136"/>
      </rPr>
      <t>的</t>
    </r>
    <r>
      <rPr>
        <sz val="11"/>
        <color theme="1"/>
        <rFont val="Calibri"/>
        <family val="2"/>
        <charset val="1"/>
      </rPr>
      <t>26%</t>
    </r>
    <r>
      <rPr>
        <sz val="11"/>
        <color theme="1"/>
        <rFont val="細明體"/>
        <family val="3"/>
        <charset val="136"/>
      </rPr>
      <t>距公司「</t>
    </r>
    <r>
      <rPr>
        <sz val="11"/>
        <color theme="1"/>
        <rFont val="Calibri"/>
        <family val="2"/>
        <charset val="1"/>
      </rPr>
      <t>E</t>
    </r>
    <r>
      <rPr>
        <sz val="11"/>
        <color theme="1"/>
        <rFont val="細明體"/>
        <family val="3"/>
        <charset val="136"/>
      </rPr>
      <t>布緩解後</t>
    </r>
    <r>
      <rPr>
        <sz val="11"/>
        <color theme="1"/>
        <rFont val="Calibri"/>
        <family val="2"/>
        <charset val="1"/>
      </rPr>
      <t>30%</t>
    </r>
    <r>
      <rPr>
        <sz val="11"/>
        <color theme="1"/>
        <rFont val="細明體"/>
        <family val="3"/>
        <charset val="136"/>
      </rPr>
      <t>可達成」【口徑】仍留</t>
    </r>
    <r>
      <rPr>
        <sz val="11"/>
        <color theme="1"/>
        <rFont val="Calibri"/>
        <family val="2"/>
        <charset val="1"/>
      </rPr>
      <t>4ppt</t>
    </r>
    <r>
      <rPr>
        <sz val="11"/>
        <color theme="1"/>
        <rFont val="細明體"/>
        <family val="3"/>
        <charset val="136"/>
      </rPr>
      <t>保守墊</t>
    </r>
  </si>
  <si>
    <r>
      <t>- 28</t>
    </r>
    <r>
      <rPr>
        <sz val="11"/>
        <color theme="1"/>
        <rFont val="細明體"/>
        <family val="3"/>
        <charset val="136"/>
      </rPr>
      <t>年</t>
    </r>
    <r>
      <rPr>
        <sz val="11"/>
        <color theme="1"/>
        <rFont val="Calibri"/>
        <family val="2"/>
        <charset val="1"/>
      </rPr>
      <t>26.5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29.0%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Calibri"/>
        <family val="2"/>
        <charset val="1"/>
      </rPr>
      <t>E</t>
    </r>
    <r>
      <rPr>
        <sz val="11"/>
        <color theme="1"/>
        <rFont val="細明體"/>
        <family val="3"/>
        <charset val="136"/>
      </rPr>
      <t>布已緩解＋</t>
    </r>
    <r>
      <rPr>
        <sz val="11"/>
        <color theme="1"/>
        <rFont val="Calibri"/>
        <family val="2"/>
        <charset val="1"/>
      </rPr>
      <t>M9</t>
    </r>
    <r>
      <rPr>
        <sz val="11"/>
        <color theme="1"/>
        <rFont val="細明體"/>
        <family val="3"/>
        <charset val="136"/>
      </rPr>
      <t>放量（公司原話「若放量毛利率極佳」）－泰國二廠折舊拖累後的淨值；全年</t>
    </r>
    <r>
      <rPr>
        <sz val="11"/>
        <color theme="1"/>
        <rFont val="Calibri"/>
        <family val="2"/>
        <charset val="1"/>
      </rPr>
      <t>27.6%</t>
    </r>
    <r>
      <rPr>
        <sz val="11"/>
        <color theme="1"/>
        <rFont val="細明體"/>
        <family val="3"/>
        <charset val="136"/>
      </rPr>
      <t>仍不到</t>
    </r>
    <r>
      <rPr>
        <sz val="11"/>
        <color theme="1"/>
        <rFont val="Calibri"/>
        <family val="2"/>
        <charset val="1"/>
      </rPr>
      <t>30%</t>
    </r>
    <r>
      <rPr>
        <sz val="11"/>
        <color theme="1"/>
        <rFont val="細明體"/>
        <family val="3"/>
        <charset val="136"/>
      </rPr>
      <t>口徑</t>
    </r>
  </si>
  <si>
    <r>
      <t xml:space="preserve">- </t>
    </r>
    <r>
      <rPr>
        <sz val="11"/>
        <color theme="1"/>
        <rFont val="細明體"/>
        <family val="3"/>
        <charset val="136"/>
      </rPr>
      <t>交叉檢核：這條路徑等於讓聯茂在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細明體"/>
        <family val="3"/>
        <charset val="136"/>
      </rPr>
      <t>年中達到台燿</t>
    </r>
    <r>
      <rPr>
        <sz val="11"/>
        <color theme="1"/>
        <rFont val="Calibri"/>
        <family val="2"/>
        <charset val="1"/>
      </rPr>
      <t>26Q1</t>
    </r>
    <r>
      <rPr>
        <sz val="11"/>
        <color theme="1"/>
        <rFont val="細明體"/>
        <family val="3"/>
        <charset val="136"/>
      </rPr>
      <t>的水準（</t>
    </r>
    <r>
      <rPr>
        <sz val="11"/>
        <color theme="1"/>
        <rFont val="Calibri"/>
        <family val="2"/>
        <charset val="1"/>
      </rPr>
      <t>25%</t>
    </r>
    <r>
      <rPr>
        <sz val="11"/>
        <color theme="1"/>
        <rFont val="細明體"/>
        <family val="3"/>
        <charset val="136"/>
      </rPr>
      <t>）</t>
    </r>
    <r>
      <rPr>
        <sz val="11"/>
        <color theme="1"/>
        <rFont val="Calibri"/>
        <family val="2"/>
        <charset val="1"/>
      </rPr>
      <t>——</t>
    </r>
    <r>
      <rPr>
        <sz val="11"/>
        <color theme="1"/>
        <rFont val="細明體"/>
        <family val="3"/>
        <charset val="136"/>
      </rPr>
      <t>落後台燿約</t>
    </r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細明體"/>
        <family val="3"/>
        <charset val="136"/>
      </rPr>
      <t>季，與兩家目前</t>
    </r>
    <r>
      <rPr>
        <sz val="11"/>
        <color theme="1"/>
        <rFont val="Calibri"/>
        <family val="2"/>
        <charset val="1"/>
      </rPr>
      <t>mix</t>
    </r>
    <r>
      <rPr>
        <sz val="11"/>
        <color theme="1"/>
        <rFont val="細明體"/>
        <family val="3"/>
        <charset val="136"/>
      </rPr>
      <t>差距相稱</t>
    </r>
  </si>
  <si>
    <r>
      <t xml:space="preserve">## </t>
    </r>
    <r>
      <rPr>
        <sz val="11"/>
        <color theme="1"/>
        <rFont val="細明體"/>
        <family val="3"/>
        <charset val="136"/>
      </rPr>
      <t>三、費用率</t>
    </r>
  </si>
  <si>
    <r>
      <t>- 26Q1 6.78%</t>
    </r>
    <r>
      <rPr>
        <sz val="11"/>
        <color theme="1"/>
        <rFont val="細明體"/>
        <family val="3"/>
        <charset val="136"/>
      </rPr>
      <t>【實際】（毛利率</t>
    </r>
    <r>
      <rPr>
        <sz val="11"/>
        <color theme="1"/>
        <rFont val="Calibri"/>
        <family val="2"/>
        <charset val="1"/>
      </rPr>
      <t>11.42</t>
    </r>
    <r>
      <rPr>
        <sz val="11"/>
        <color theme="1"/>
        <rFont val="細明體"/>
        <family val="3"/>
        <charset val="136"/>
      </rPr>
      <t>－營益率</t>
    </r>
    <r>
      <rPr>
        <sz val="11"/>
        <color theme="1"/>
        <rFont val="Calibri"/>
        <family val="2"/>
        <charset val="1"/>
      </rPr>
      <t>4.64</t>
    </r>
    <r>
      <rPr>
        <sz val="11"/>
        <color theme="1"/>
        <rFont val="細明體"/>
        <family val="3"/>
        <charset val="136"/>
      </rPr>
      <t>）</t>
    </r>
  </si>
  <si>
    <r>
      <t>- 26Q2-Q4 6.5</t>
    </r>
    <r>
      <rPr>
        <sz val="11"/>
        <color theme="1"/>
        <rFont val="細明體"/>
        <family val="3"/>
        <charset val="136"/>
      </rPr>
      <t>→</t>
    </r>
    <r>
      <rPr>
        <sz val="11"/>
        <color theme="1"/>
        <rFont val="Calibri"/>
        <family val="2"/>
        <charset val="1"/>
      </rPr>
      <t>5.8%</t>
    </r>
    <r>
      <rPr>
        <sz val="11"/>
        <color theme="1"/>
        <rFont val="細明體"/>
        <family val="3"/>
        <charset val="136"/>
      </rPr>
      <t>、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細明體"/>
        <family val="3"/>
        <charset val="136"/>
      </rPr>
      <t>年</t>
    </r>
    <r>
      <rPr>
        <sz val="11"/>
        <color theme="1"/>
        <rFont val="Calibri"/>
        <family val="2"/>
        <charset val="1"/>
      </rPr>
      <t>5.5%</t>
    </r>
    <r>
      <rPr>
        <sz val="11"/>
        <color theme="1"/>
        <rFont val="細明體"/>
        <family val="3"/>
        <charset val="136"/>
      </rPr>
      <t>、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細明體"/>
        <family val="3"/>
        <charset val="136"/>
      </rPr>
      <t>年</t>
    </r>
    <r>
      <rPr>
        <sz val="11"/>
        <color theme="1"/>
        <rFont val="Calibri"/>
        <family val="2"/>
        <charset val="1"/>
      </rPr>
      <t>5.2%</t>
    </r>
    <r>
      <rPr>
        <sz val="11"/>
        <color theme="1"/>
        <rFont val="細明體"/>
        <family val="3"/>
        <charset val="136"/>
      </rPr>
      <t>：費用半固定、營收從</t>
    </r>
    <r>
      <rPr>
        <sz val="11"/>
        <color theme="1"/>
        <rFont val="Calibri"/>
        <family val="2"/>
        <charset val="1"/>
      </rPr>
      <t>492</t>
    </r>
    <r>
      <rPr>
        <sz val="11"/>
        <color theme="1"/>
        <rFont val="細明體"/>
        <family val="3"/>
        <charset val="136"/>
      </rPr>
      <t>攤到</t>
    </r>
    <r>
      <rPr>
        <sz val="11"/>
        <color theme="1"/>
        <rFont val="Calibri"/>
        <family val="2"/>
        <charset val="1"/>
      </rPr>
      <t>800</t>
    </r>
    <r>
      <rPr>
        <sz val="11"/>
        <color theme="1"/>
        <rFont val="細明體"/>
        <family val="3"/>
        <charset val="136"/>
      </rPr>
      <t>億的規模假設</t>
    </r>
  </si>
  <si>
    <r>
      <t>- ⚠️</t>
    </r>
    <r>
      <rPr>
        <sz val="11"/>
        <color theme="1"/>
        <rFont val="細明體"/>
        <family val="3"/>
        <charset val="136"/>
      </rPr>
      <t>自我揭露：聯茂歷史費用率</t>
    </r>
    <r>
      <rPr>
        <sz val="11"/>
        <color theme="1"/>
        <rFont val="Calibri"/>
        <family val="2"/>
        <charset val="1"/>
      </rPr>
      <t>7-9%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細明體"/>
        <family val="3"/>
        <charset val="136"/>
      </rPr>
      <t>年壓到</t>
    </r>
    <r>
      <rPr>
        <sz val="11"/>
        <color theme="1"/>
        <rFont val="Calibri"/>
        <family val="2"/>
        <charset val="1"/>
      </rPr>
      <t>5.2%</t>
    </r>
    <r>
      <rPr>
        <sz val="11"/>
        <color theme="1"/>
        <rFont val="細明體"/>
        <family val="3"/>
        <charset val="136"/>
      </rPr>
      <t>偏激進；若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細明體"/>
        <family val="3"/>
        <charset val="136"/>
      </rPr>
      <t>年停在</t>
    </r>
    <r>
      <rPr>
        <sz val="11"/>
        <color theme="1"/>
        <rFont val="Calibri"/>
        <family val="2"/>
        <charset val="1"/>
      </rPr>
      <t>6%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Calibri"/>
        <family val="2"/>
        <charset val="1"/>
      </rPr>
      <t>EPS 35.4</t>
    </r>
    <r>
      <rPr>
        <sz val="11"/>
        <color theme="1"/>
        <rFont val="細明體"/>
        <family val="3"/>
        <charset val="136"/>
      </rPr>
      <t>→約</t>
    </r>
    <r>
      <rPr>
        <sz val="11"/>
        <color theme="1"/>
        <rFont val="Calibri"/>
        <family val="2"/>
        <charset val="1"/>
      </rPr>
      <t>33.6</t>
    </r>
  </si>
  <si>
    <r>
      <t xml:space="preserve">## </t>
    </r>
    <r>
      <rPr>
        <sz val="11"/>
        <color theme="1"/>
        <rFont val="細明體"/>
        <family val="3"/>
        <charset val="136"/>
      </rPr>
      <t>四、業外</t>
    </r>
  </si>
  <si>
    <r>
      <t>- 26Q1 +0.2</t>
    </r>
    <r>
      <rPr>
        <sz val="11"/>
        <color theme="1"/>
        <rFont val="細明體"/>
        <family val="3"/>
        <charset val="136"/>
      </rPr>
      <t>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細明體"/>
        <family val="3"/>
        <charset val="136"/>
      </rPr>
      <t>月：用實際回推校準（稅前</t>
    </r>
    <r>
      <rPr>
        <sz val="11"/>
        <color theme="1"/>
        <rFont val="Calibri"/>
        <family val="2"/>
        <charset val="1"/>
      </rPr>
      <t>4.83</t>
    </r>
    <r>
      <rPr>
        <sz val="11"/>
        <color theme="1"/>
        <rFont val="細明體"/>
        <family val="3"/>
        <charset val="136"/>
      </rPr>
      <t>－營益</t>
    </r>
    <r>
      <rPr>
        <sz val="11"/>
        <color theme="1"/>
        <rFont val="Calibri"/>
        <family val="2"/>
        <charset val="1"/>
      </rPr>
      <t>4.24</t>
    </r>
    <r>
      <rPr>
        <sz val="11"/>
        <color theme="1"/>
        <rFont val="細明體"/>
        <family val="3"/>
        <charset val="136"/>
      </rPr>
      <t>＝</t>
    </r>
    <r>
      <rPr>
        <sz val="11"/>
        <color theme="1"/>
        <rFont val="Calibri"/>
        <family val="2"/>
        <charset val="1"/>
      </rPr>
      <t>+0.59</t>
    </r>
    <r>
      <rPr>
        <sz val="11"/>
        <color theme="1"/>
        <rFont val="細明體"/>
        <family val="3"/>
        <charset val="136"/>
      </rPr>
      <t>億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細明體"/>
        <family val="3"/>
        <charset val="136"/>
      </rPr>
      <t>季）【實際】</t>
    </r>
  </si>
  <si>
    <r>
      <t>- H2 0.15/</t>
    </r>
    <r>
      <rPr>
        <sz val="11"/>
        <color theme="1"/>
        <rFont val="細明體"/>
        <family val="3"/>
        <charset val="136"/>
      </rPr>
      <t>月、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細明體"/>
        <family val="3"/>
        <charset val="136"/>
      </rPr>
      <t>年</t>
    </r>
    <r>
      <rPr>
        <sz val="11"/>
        <color theme="1"/>
        <rFont val="Calibri"/>
        <family val="2"/>
        <charset val="1"/>
      </rPr>
      <t>0.25/</t>
    </r>
    <r>
      <rPr>
        <sz val="11"/>
        <color theme="1"/>
        <rFont val="細明體"/>
        <family val="3"/>
        <charset val="136"/>
      </rPr>
      <t>月、</t>
    </r>
    <r>
      <rPr>
        <sz val="11"/>
        <color theme="1"/>
        <rFont val="Calibri"/>
        <family val="2"/>
        <charset val="1"/>
      </rPr>
      <t>28</t>
    </r>
    <r>
      <rPr>
        <sz val="11"/>
        <color theme="1"/>
        <rFont val="細明體"/>
        <family val="3"/>
        <charset val="136"/>
      </rPr>
      <t>年</t>
    </r>
    <r>
      <rPr>
        <sz val="11"/>
        <color theme="1"/>
        <rFont val="Calibri"/>
        <family val="2"/>
        <charset val="1"/>
      </rPr>
      <t>0.33/</t>
    </r>
    <r>
      <rPr>
        <sz val="11"/>
        <color theme="1"/>
        <rFont val="細明體"/>
        <family val="3"/>
        <charset val="136"/>
      </rPr>
      <t>月：隨現金部位微增，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細明體"/>
        <family val="3"/>
        <charset val="136"/>
      </rPr>
      <t>匯率中性假設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細明體"/>
        <family val="3"/>
        <charset val="136"/>
      </rPr>
      <t>（聯茂業外波動主要是匯兌，不押方向）</t>
    </r>
  </si>
  <si>
    <r>
      <t xml:space="preserve">## </t>
    </r>
    <r>
      <rPr>
        <sz val="11"/>
        <color theme="1"/>
        <rFont val="細明體"/>
        <family val="3"/>
        <charset val="136"/>
      </rPr>
      <t>五、稅率</t>
    </r>
  </si>
  <si>
    <r>
      <t>- 26Q1 34.8%</t>
    </r>
    <r>
      <rPr>
        <sz val="11"/>
        <color theme="1"/>
        <rFont val="細明體"/>
        <family val="3"/>
        <charset val="136"/>
      </rPr>
      <t>【實際】（</t>
    </r>
    <r>
      <rPr>
        <sz val="11"/>
        <color theme="1"/>
        <rFont val="Calibri"/>
        <family val="2"/>
        <charset val="1"/>
      </rPr>
      <t>315/483</t>
    </r>
    <r>
      <rPr>
        <sz val="11"/>
        <color theme="1"/>
        <rFont val="細明體"/>
        <family val="3"/>
        <charset val="136"/>
      </rPr>
      <t>）</t>
    </r>
  </si>
  <si>
    <r>
      <t>- 26Q2-Q4 32%</t>
    </r>
    <r>
      <rPr>
        <sz val="11"/>
        <color theme="1"/>
        <rFont val="細明體"/>
        <family val="3"/>
        <charset val="136"/>
      </rPr>
      <t>、</t>
    </r>
    <r>
      <rPr>
        <sz val="11"/>
        <color theme="1"/>
        <rFont val="Calibri"/>
        <family val="2"/>
        <charset val="1"/>
      </rPr>
      <t>27-28</t>
    </r>
    <r>
      <rPr>
        <sz val="11"/>
        <color theme="1"/>
        <rFont val="細明體"/>
        <family val="3"/>
        <charset val="136"/>
      </rPr>
      <t>年</t>
    </r>
    <r>
      <rPr>
        <sz val="11"/>
        <color theme="1"/>
        <rFont val="Calibri"/>
        <family val="2"/>
        <charset val="1"/>
      </rPr>
      <t>30%</t>
    </r>
    <r>
      <rPr>
        <sz val="11"/>
        <color theme="1"/>
        <rFont val="細明體"/>
        <family val="3"/>
        <charset val="136"/>
      </rPr>
      <t>：聯茂歷史稅率偏高（中國子公司＋未分配盈餘稅，</t>
    </r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細明體"/>
        <family val="3"/>
        <charset val="136"/>
      </rPr>
      <t>全年約</t>
    </r>
    <r>
      <rPr>
        <sz val="11"/>
        <color theme="1"/>
        <rFont val="Calibri"/>
        <family val="2"/>
        <charset val="1"/>
      </rPr>
      <t>36%</t>
    </r>
    <r>
      <rPr>
        <sz val="11"/>
        <color theme="1"/>
        <rFont val="細明體"/>
        <family val="3"/>
        <charset val="136"/>
      </rPr>
      <t>），下修的依據是泰國</t>
    </r>
    <r>
      <rPr>
        <sz val="11"/>
        <color theme="1"/>
        <rFont val="Calibri"/>
        <family val="2"/>
        <charset val="1"/>
      </rPr>
      <t>BOI</t>
    </r>
    <r>
      <rPr>
        <sz val="11"/>
        <color theme="1"/>
        <rFont val="細明體"/>
        <family val="3"/>
        <charset val="136"/>
      </rPr>
      <t>租稅優惠比重上升【推估】</t>
    </r>
  </si>
  <si>
    <r>
      <t>- ⚠️</t>
    </r>
    <r>
      <rPr>
        <sz val="11"/>
        <color theme="1"/>
        <rFont val="細明體"/>
        <family val="3"/>
        <charset val="136"/>
      </rPr>
      <t>敏感度：若稅率維持</t>
    </r>
    <r>
      <rPr>
        <sz val="11"/>
        <color theme="1"/>
        <rFont val="Calibri"/>
        <family val="2"/>
        <charset val="1"/>
      </rPr>
      <t>35%</t>
    </r>
    <r>
      <rPr>
        <sz val="11"/>
        <color theme="1"/>
        <rFont val="細明體"/>
        <family val="3"/>
        <charset val="136"/>
      </rPr>
      <t>不降，</t>
    </r>
    <r>
      <rPr>
        <sz val="11"/>
        <color theme="1"/>
        <rFont val="Calibri"/>
        <family val="2"/>
        <charset val="1"/>
      </rPr>
      <t>27F EPS</t>
    </r>
    <r>
      <rPr>
        <sz val="11"/>
        <color theme="1"/>
        <rFont val="細明體"/>
        <family val="3"/>
        <charset val="136"/>
      </rPr>
      <t>從</t>
    </r>
    <r>
      <rPr>
        <sz val="11"/>
        <color theme="1"/>
        <rFont val="Calibri"/>
        <family val="2"/>
        <charset val="1"/>
      </rPr>
      <t>24.5</t>
    </r>
    <r>
      <rPr>
        <sz val="11"/>
        <color theme="1"/>
        <rFont val="細明體"/>
        <family val="3"/>
        <charset val="136"/>
      </rPr>
      <t>→約</t>
    </r>
    <r>
      <rPr>
        <sz val="11"/>
        <color theme="1"/>
        <rFont val="Calibri"/>
        <family val="2"/>
        <charset val="1"/>
      </rPr>
      <t>22.8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Calibri"/>
        <family val="2"/>
        <charset val="1"/>
      </rPr>
      <t>28F</t>
    </r>
    <r>
      <rPr>
        <sz val="11"/>
        <color theme="1"/>
        <rFont val="細明體"/>
        <family val="3"/>
        <charset val="136"/>
      </rPr>
      <t>從</t>
    </r>
    <r>
      <rPr>
        <sz val="11"/>
        <color theme="1"/>
        <rFont val="Calibri"/>
        <family val="2"/>
        <charset val="1"/>
      </rPr>
      <t>35.4</t>
    </r>
    <r>
      <rPr>
        <sz val="11"/>
        <color theme="1"/>
        <rFont val="細明體"/>
        <family val="3"/>
        <charset val="136"/>
      </rPr>
      <t>→約</t>
    </r>
    <r>
      <rPr>
        <sz val="11"/>
        <color theme="1"/>
        <rFont val="Calibri"/>
        <family val="2"/>
        <charset val="1"/>
      </rPr>
      <t>32.9——</t>
    </r>
    <r>
      <rPr>
        <sz val="11"/>
        <color theme="1"/>
        <rFont val="細明體"/>
        <family val="3"/>
        <charset val="136"/>
      </rPr>
      <t>稅率是模型裡最少人檢查、影響卻有</t>
    </r>
    <r>
      <rPr>
        <sz val="11"/>
        <color theme="1"/>
        <rFont val="Calibri"/>
        <family val="2"/>
        <charset val="1"/>
      </rPr>
      <t>7%</t>
    </r>
    <r>
      <rPr>
        <sz val="11"/>
        <color theme="1"/>
        <rFont val="細明體"/>
        <family val="3"/>
        <charset val="136"/>
      </rPr>
      <t>的參數</t>
    </r>
  </si>
  <si>
    <r>
      <t xml:space="preserve">## </t>
    </r>
    <r>
      <rPr>
        <sz val="11"/>
        <color theme="1"/>
        <rFont val="細明體"/>
        <family val="3"/>
        <charset val="136"/>
      </rPr>
      <t>六、股數與歸母</t>
    </r>
  </si>
  <si>
    <r>
      <t>- 3.635</t>
    </r>
    <r>
      <rPr>
        <sz val="11"/>
        <color theme="1"/>
        <rFont val="細明體"/>
        <family val="3"/>
        <charset val="136"/>
      </rPr>
      <t>億股（股本</t>
    </r>
    <r>
      <rPr>
        <sz val="11"/>
        <color theme="1"/>
        <rFont val="Calibri"/>
        <family val="2"/>
        <charset val="1"/>
      </rPr>
      <t>36.35</t>
    </r>
    <r>
      <rPr>
        <sz val="11"/>
        <color theme="1"/>
        <rFont val="細明體"/>
        <family val="3"/>
        <charset val="136"/>
      </rPr>
      <t>億）固定：假設無稀釋。</t>
    </r>
    <r>
      <rPr>
        <sz val="11"/>
        <color theme="1"/>
        <rFont val="Calibri"/>
        <family val="2"/>
        <charset val="1"/>
      </rPr>
      <t>⚠️</t>
    </r>
    <r>
      <rPr>
        <sz val="11"/>
        <color theme="1"/>
        <rFont val="細明體"/>
        <family val="3"/>
        <charset val="136"/>
      </rPr>
      <t>待驗證：聯茂是否有流通</t>
    </r>
    <r>
      <rPr>
        <sz val="11"/>
        <color theme="1"/>
        <rFont val="Calibri"/>
        <family val="2"/>
        <charset val="1"/>
      </rPr>
      <t>CB</t>
    </r>
    <r>
      <rPr>
        <sz val="11"/>
        <color theme="1"/>
        <rFont val="細明體"/>
        <family val="3"/>
        <charset val="136"/>
      </rPr>
      <t>或大額員工酬勞配股</t>
    </r>
  </si>
  <si>
    <r>
      <t xml:space="preserve">- </t>
    </r>
    <r>
      <rPr>
        <sz val="11"/>
        <color theme="1"/>
        <rFont val="細明體"/>
        <family val="3"/>
        <charset val="136"/>
      </rPr>
      <t>歸母比例</t>
    </r>
    <r>
      <rPr>
        <sz val="11"/>
        <color theme="1"/>
        <rFont val="Calibri"/>
        <family val="2"/>
        <charset val="1"/>
      </rPr>
      <t>1.0</t>
    </r>
    <r>
      <rPr>
        <sz val="11"/>
        <color theme="1"/>
        <rFont val="細明體"/>
        <family val="3"/>
        <charset val="136"/>
      </rPr>
      <t>：泰國子公司</t>
    </r>
    <r>
      <rPr>
        <sz val="11"/>
        <color theme="1"/>
        <rFont val="Calibri"/>
        <family val="2"/>
        <charset val="1"/>
      </rPr>
      <t>100%</t>
    </r>
    <r>
      <rPr>
        <sz val="11"/>
        <color theme="1"/>
        <rFont val="細明體"/>
        <family val="3"/>
        <charset val="136"/>
      </rPr>
      <t>持股，</t>
    </r>
    <r>
      <rPr>
        <sz val="11"/>
        <color theme="1"/>
        <rFont val="Calibri"/>
        <family val="2"/>
        <charset val="1"/>
      </rPr>
      <t>24-26</t>
    </r>
    <r>
      <rPr>
        <sz val="11"/>
        <color theme="1"/>
        <rFont val="細明體"/>
        <family val="3"/>
        <charset val="136"/>
      </rPr>
      <t>年歸母</t>
    </r>
    <r>
      <rPr>
        <sz val="11"/>
        <color theme="1"/>
        <rFont val="NSimSun"/>
        <family val="3"/>
        <charset val="134"/>
      </rPr>
      <t>≈</t>
    </r>
    <r>
      <rPr>
        <sz val="11"/>
        <color theme="1"/>
        <rFont val="細明體"/>
        <family val="3"/>
        <charset val="136"/>
      </rPr>
      <t>全部淨利【實際】</t>
    </r>
  </si>
  <si>
    <r>
      <t xml:space="preserve">## </t>
    </r>
    <r>
      <rPr>
        <sz val="11"/>
        <color theme="1"/>
        <rFont val="細明體"/>
        <family val="3"/>
        <charset val="136"/>
      </rPr>
      <t>七、結果與共識的差距歸因</t>
    </r>
  </si>
  <si>
    <r>
      <t xml:space="preserve">| | </t>
    </r>
    <r>
      <rPr>
        <sz val="11"/>
        <color theme="1"/>
        <rFont val="細明體"/>
        <family val="3"/>
        <charset val="136"/>
      </rPr>
      <t>我們</t>
    </r>
    <r>
      <rPr>
        <sz val="11"/>
        <color theme="1"/>
        <rFont val="Calibri"/>
        <family val="2"/>
        <charset val="1"/>
      </rPr>
      <t xml:space="preserve"> | </t>
    </r>
    <r>
      <rPr>
        <sz val="11"/>
        <color theme="1"/>
        <rFont val="細明體"/>
        <family val="3"/>
        <charset val="136"/>
      </rPr>
      <t>共識</t>
    </r>
    <r>
      <rPr>
        <sz val="11"/>
        <color theme="1"/>
        <rFont val="Calibri"/>
        <family val="2"/>
        <charset val="1"/>
      </rPr>
      <t xml:space="preserve"> | </t>
    </r>
    <r>
      <rPr>
        <sz val="11"/>
        <color theme="1"/>
        <rFont val="細明體"/>
        <family val="3"/>
        <charset val="136"/>
      </rPr>
      <t>差距主因</t>
    </r>
    <r>
      <rPr>
        <sz val="11"/>
        <color theme="1"/>
        <rFont val="Calibri"/>
        <family val="2"/>
        <charset val="1"/>
      </rPr>
      <t xml:space="preserve"> |</t>
    </r>
  </si>
  <si>
    <t>|-|-|-|-|</t>
  </si>
  <si>
    <r>
      <t>| 26F | 12.43 | 9.54 | H2</t>
    </r>
    <r>
      <rPr>
        <sz val="11"/>
        <color theme="1"/>
        <rFont val="細明體"/>
        <family val="3"/>
        <charset val="136"/>
      </rPr>
      <t>毛利率</t>
    </r>
    <r>
      <rPr>
        <sz val="11"/>
        <color theme="1"/>
        <rFont val="Calibri"/>
        <family val="2"/>
        <charset val="1"/>
      </rPr>
      <t>21-22.5%</t>
    </r>
    <r>
      <rPr>
        <sz val="11"/>
        <color theme="1"/>
        <rFont val="細明體"/>
        <family val="3"/>
        <charset val="136"/>
      </rPr>
      <t>（共識隱含約</t>
    </r>
    <r>
      <rPr>
        <sz val="11"/>
        <color theme="1"/>
        <rFont val="Calibri"/>
        <family val="2"/>
        <charset val="1"/>
      </rPr>
      <t>16-17%</t>
    </r>
    <r>
      <rPr>
        <sz val="11"/>
        <color theme="1"/>
        <rFont val="細明體"/>
        <family val="3"/>
        <charset val="136"/>
      </rPr>
      <t>）＋</t>
    </r>
    <r>
      <rPr>
        <sz val="11"/>
        <color theme="1"/>
        <rFont val="Calibri"/>
        <family val="2"/>
        <charset val="1"/>
      </rPr>
      <t>Q2</t>
    </r>
    <r>
      <rPr>
        <sz val="11"/>
        <color theme="1"/>
        <rFont val="細明體"/>
        <family val="3"/>
        <charset val="136"/>
      </rPr>
      <t>實際強於共識</t>
    </r>
    <r>
      <rPr>
        <sz val="11"/>
        <color theme="1"/>
        <rFont val="Calibri"/>
        <family val="2"/>
        <charset val="1"/>
      </rPr>
      <t xml:space="preserve"> |</t>
    </r>
  </si>
  <si>
    <r>
      <t xml:space="preserve">| 27F | 24.52 | 17.14 | </t>
    </r>
    <r>
      <rPr>
        <sz val="11"/>
        <color theme="1"/>
        <rFont val="細明體"/>
        <family val="3"/>
        <charset val="136"/>
      </rPr>
      <t>營收只多</t>
    </r>
    <r>
      <rPr>
        <sz val="11"/>
        <color theme="1"/>
        <rFont val="Calibri"/>
        <family val="2"/>
        <charset val="1"/>
      </rPr>
      <t>2%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細明體"/>
        <family val="3"/>
        <charset val="136"/>
      </rPr>
      <t>差距九成來自毛利率</t>
    </r>
    <r>
      <rPr>
        <sz val="11"/>
        <color theme="1"/>
        <rFont val="Calibri"/>
        <family val="2"/>
        <charset val="1"/>
      </rPr>
      <t xml:space="preserve">25% vs </t>
    </r>
    <r>
      <rPr>
        <sz val="11"/>
        <color theme="1"/>
        <rFont val="細明體"/>
        <family val="3"/>
        <charset val="136"/>
      </rPr>
      <t>共識隱含</t>
    </r>
    <r>
      <rPr>
        <sz val="11"/>
        <color theme="1"/>
        <rFont val="Calibri"/>
        <family val="2"/>
        <charset val="1"/>
      </rPr>
      <t>21-22%**——</t>
    </r>
    <r>
      <rPr>
        <sz val="11"/>
        <color theme="1"/>
        <rFont val="細明體"/>
        <family val="3"/>
        <charset val="136"/>
      </rPr>
      <t>即你的</t>
    </r>
    <r>
      <rPr>
        <sz val="11"/>
        <color theme="1"/>
        <rFont val="Calibri"/>
        <family val="2"/>
        <charset val="1"/>
      </rPr>
      <t>mix</t>
    </r>
    <r>
      <rPr>
        <sz val="11"/>
        <color theme="1"/>
        <rFont val="細明體"/>
        <family val="3"/>
        <charset val="136"/>
      </rPr>
      <t>框架是否兌現</t>
    </r>
    <r>
      <rPr>
        <sz val="11"/>
        <color theme="1"/>
        <rFont val="Calibri"/>
        <family val="2"/>
        <charset val="1"/>
      </rPr>
      <t xml:space="preserve"> |</t>
    </r>
  </si>
  <si>
    <r>
      <t>| 28F | 35.39 | 14.80(</t>
    </r>
    <r>
      <rPr>
        <sz val="11"/>
        <color theme="1"/>
        <rFont val="細明體"/>
        <family val="3"/>
        <charset val="136"/>
      </rPr>
      <t>僅一家</t>
    </r>
    <r>
      <rPr>
        <sz val="11"/>
        <color theme="1"/>
        <rFont val="Calibri"/>
        <family val="2"/>
        <charset val="1"/>
      </rPr>
      <t xml:space="preserve">) | </t>
    </r>
    <r>
      <rPr>
        <sz val="11"/>
        <color theme="1"/>
        <rFont val="細明體"/>
        <family val="3"/>
        <charset val="136"/>
      </rPr>
      <t>純情境：</t>
    </r>
    <r>
      <rPr>
        <sz val="11"/>
        <color theme="1"/>
        <rFont val="Calibri"/>
        <family val="2"/>
        <charset val="1"/>
      </rPr>
      <t>E</t>
    </r>
    <r>
      <rPr>
        <sz val="11"/>
        <color theme="1"/>
        <rFont val="細明體"/>
        <family val="3"/>
        <charset val="136"/>
      </rPr>
      <t>布緩解＋二廠＋</t>
    </r>
    <r>
      <rPr>
        <sz val="11"/>
        <color theme="1"/>
        <rFont val="Calibri"/>
        <family val="2"/>
        <charset val="1"/>
      </rPr>
      <t>ASIC/M9</t>
    </r>
    <r>
      <rPr>
        <sz val="11"/>
        <color theme="1"/>
        <rFont val="細明體"/>
        <family val="3"/>
        <charset val="136"/>
      </rPr>
      <t>三引擎全開</t>
    </r>
    <r>
      <rPr>
        <sz val="11"/>
        <color theme="1"/>
        <rFont val="Calibri"/>
        <family val="2"/>
        <charset val="1"/>
      </rPr>
      <t xml:space="preserve"> |</t>
    </r>
  </si>
  <si>
    <r>
      <t xml:space="preserve">## </t>
    </r>
    <r>
      <rPr>
        <sz val="11"/>
        <color theme="1"/>
        <rFont val="細明體"/>
        <family val="3"/>
        <charset val="136"/>
      </rPr>
      <t>八、模型最脆弱的三個點（依殺傷力排序）</t>
    </r>
  </si>
  <si>
    <r>
      <t>1. **26Q4</t>
    </r>
    <r>
      <rPr>
        <sz val="11"/>
        <color theme="1"/>
        <rFont val="細明體"/>
        <family val="3"/>
        <charset val="136"/>
      </rPr>
      <t>毛利率</t>
    </r>
    <r>
      <rPr>
        <sz val="11"/>
        <color theme="1"/>
        <rFont val="Calibri"/>
        <family val="2"/>
        <charset val="1"/>
      </rPr>
      <t>22.5%</t>
    </r>
    <r>
      <rPr>
        <sz val="11"/>
        <color theme="1"/>
        <rFont val="細明體"/>
        <family val="3"/>
        <charset val="136"/>
      </rPr>
      <t>破前高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細明體"/>
        <family val="3"/>
        <charset val="136"/>
      </rPr>
      <t>：如果本輪</t>
    </r>
    <r>
      <rPr>
        <sz val="11"/>
        <color theme="1"/>
        <rFont val="Calibri"/>
        <family val="2"/>
        <charset val="1"/>
      </rPr>
      <t>mix</t>
    </r>
    <r>
      <rPr>
        <sz val="11"/>
        <color theme="1"/>
        <rFont val="細明體"/>
        <family val="3"/>
        <charset val="136"/>
      </rPr>
      <t>升級是假的（只是漲價），</t>
    </r>
    <r>
      <rPr>
        <sz val="11"/>
        <color theme="1"/>
        <rFont val="Calibri"/>
        <family val="2"/>
        <charset val="1"/>
      </rPr>
      <t>Q4</t>
    </r>
    <r>
      <rPr>
        <sz val="11"/>
        <color theme="1"/>
        <rFont val="細明體"/>
        <family val="3"/>
        <charset val="136"/>
      </rPr>
      <t>會卡在</t>
    </r>
    <r>
      <rPr>
        <sz val="11"/>
        <color theme="1"/>
        <rFont val="Calibri"/>
        <family val="2"/>
        <charset val="1"/>
      </rPr>
      <t>19-20%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Calibri"/>
        <family val="2"/>
        <charset val="1"/>
      </rPr>
      <t>27</t>
    </r>
    <r>
      <rPr>
        <sz val="11"/>
        <color theme="1"/>
        <rFont val="細明體"/>
        <family val="3"/>
        <charset val="136"/>
      </rPr>
      <t>年的</t>
    </r>
    <r>
      <rPr>
        <sz val="11"/>
        <color theme="1"/>
        <rFont val="Calibri"/>
        <family val="2"/>
        <charset val="1"/>
      </rPr>
      <t>25%</t>
    </r>
    <r>
      <rPr>
        <sz val="11"/>
        <color theme="1"/>
        <rFont val="細明體"/>
        <family val="3"/>
        <charset val="136"/>
      </rPr>
      <t>整條線塌掉</t>
    </r>
  </si>
  <si>
    <r>
      <t>2. **27</t>
    </r>
    <r>
      <rPr>
        <sz val="11"/>
        <color theme="1"/>
        <rFont val="細明體"/>
        <family val="3"/>
        <charset val="136"/>
      </rPr>
      <t>年淨利率</t>
    </r>
    <r>
      <rPr>
        <sz val="11"/>
        <color theme="1"/>
        <rFont val="Calibri"/>
        <family val="2"/>
        <charset val="1"/>
      </rPr>
      <t>13.9%</t>
    </r>
    <r>
      <rPr>
        <sz val="11"/>
        <color theme="1"/>
        <rFont val="細明體"/>
        <family val="3"/>
        <charset val="136"/>
      </rPr>
      <t>超過台燿現況（</t>
    </r>
    <r>
      <rPr>
        <sz val="11"/>
        <color theme="1"/>
        <rFont val="Calibri"/>
        <family val="2"/>
        <charset val="1"/>
      </rPr>
      <t>12.5%</t>
    </r>
    <r>
      <rPr>
        <sz val="11"/>
        <color theme="1"/>
        <rFont val="細明體"/>
        <family val="3"/>
        <charset val="136"/>
      </rPr>
      <t>）</t>
    </r>
    <r>
      <rPr>
        <sz val="11"/>
        <color theme="1"/>
        <rFont val="Calibri"/>
        <family val="2"/>
        <charset val="1"/>
      </rPr>
      <t>**</t>
    </r>
    <r>
      <rPr>
        <sz val="11"/>
        <color theme="1"/>
        <rFont val="細明體"/>
        <family val="3"/>
        <charset val="136"/>
      </rPr>
      <t>：這隱含聯茂兩年內完成台燿五年的體質轉換</t>
    </r>
    <r>
      <rPr>
        <sz val="11"/>
        <color theme="1"/>
        <rFont val="Calibri"/>
        <family val="2"/>
        <charset val="1"/>
      </rPr>
      <t>——</t>
    </r>
    <r>
      <rPr>
        <sz val="11"/>
        <color theme="1"/>
        <rFont val="細明體"/>
        <family val="3"/>
        <charset val="136"/>
      </rPr>
      <t>需要</t>
    </r>
    <r>
      <rPr>
        <sz val="11"/>
        <color theme="1"/>
        <rFont val="Calibri"/>
        <family val="2"/>
        <charset val="1"/>
      </rPr>
      <t>M6+</t>
    </r>
    <r>
      <rPr>
        <sz val="11"/>
        <color theme="1"/>
        <rFont val="細明體"/>
        <family val="3"/>
        <charset val="136"/>
      </rPr>
      <t>占比、稼動、費用率三者同時到位</t>
    </r>
  </si>
  <si>
    <r>
      <t>3. **</t>
    </r>
    <r>
      <rPr>
        <sz val="11"/>
        <color theme="1"/>
        <rFont val="細明體"/>
        <family val="3"/>
        <charset val="136"/>
      </rPr>
      <t>稅率</t>
    </r>
    <r>
      <rPr>
        <sz val="11"/>
        <color theme="1"/>
        <rFont val="Calibri"/>
        <family val="2"/>
        <charset val="1"/>
      </rPr>
      <t>30%**</t>
    </r>
    <r>
      <rPr>
        <sz val="11"/>
        <color theme="1"/>
        <rFont val="細明體"/>
        <family val="3"/>
        <charset val="136"/>
      </rPr>
      <t>：無公司口徑背書，純推估</t>
    </r>
  </si>
  <si>
    <r>
      <t>一句話總結模型哲學：營收線是「口徑＋斜率延伸」相對硬；</t>
    </r>
    <r>
      <rPr>
        <sz val="11"/>
        <color theme="1"/>
        <rFont val="Calibri"/>
        <family val="2"/>
        <charset val="1"/>
      </rPr>
      <t>EPS</t>
    </r>
    <r>
      <rPr>
        <sz val="11"/>
        <color theme="1"/>
        <rFont val="細明體"/>
        <family val="3"/>
        <charset val="136"/>
      </rPr>
      <t>的爆發力九成鎖在毛利率階梯上，而毛利率階梯的地基就是你的不對稱缺料框架</t>
    </r>
    <r>
      <rPr>
        <sz val="11"/>
        <color theme="1"/>
        <rFont val="Calibri"/>
        <family val="2"/>
        <charset val="1"/>
      </rPr>
      <t>——8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Calibri"/>
        <family val="2"/>
        <charset val="1"/>
      </rPr>
      <t>Q2</t>
    </r>
    <r>
      <rPr>
        <sz val="11"/>
        <color theme="1"/>
        <rFont val="細明體"/>
        <family val="3"/>
        <charset val="136"/>
      </rPr>
      <t>財報的毛利率單一數字（</t>
    </r>
    <r>
      <rPr>
        <sz val="11"/>
        <color theme="1"/>
        <rFont val="BatangChe"/>
        <family val="3"/>
        <charset val="129"/>
      </rPr>
      <t>≥</t>
    </r>
    <r>
      <rPr>
        <sz val="11"/>
        <color theme="1"/>
        <rFont val="Calibri"/>
        <family val="2"/>
        <charset val="1"/>
      </rPr>
      <t>19%</t>
    </r>
    <r>
      <rPr>
        <sz val="11"/>
        <color theme="1"/>
        <rFont val="細明體"/>
        <family val="3"/>
        <charset val="136"/>
      </rPr>
      <t>）就能驗證地基的第一層。</t>
    </r>
  </si>
  <si>
    <r>
      <t xml:space="preserve"> 26Q3 21.0%</t>
    </r>
    <r>
      <rPr>
        <sz val="11"/>
        <color theme="1"/>
        <rFont val="細明體"/>
        <family val="3"/>
        <charset val="136"/>
      </rPr>
      <t>：漲價全季化＋</t>
    </r>
    <r>
      <rPr>
        <sz val="11"/>
        <color theme="1"/>
        <rFont val="Calibri"/>
        <family val="2"/>
        <charset val="1"/>
      </rPr>
      <t>M7</t>
    </r>
    <r>
      <rPr>
        <sz val="11"/>
        <color theme="1"/>
        <rFont val="細明體"/>
        <family val="3"/>
        <charset val="136"/>
      </rPr>
      <t>占比續升</t>
    </r>
    <r>
      <rPr>
        <sz val="11"/>
        <color theme="1"/>
        <rFont val="微軟正黑體"/>
        <family val="2"/>
        <charset val="136"/>
      </rPr>
      <t>（</t>
    </r>
    <r>
      <rPr>
        <sz val="11"/>
        <color theme="1"/>
        <rFont val="Calibri"/>
        <family val="2"/>
        <charset val="1"/>
      </rPr>
      <t>mPPO 7</t>
    </r>
    <r>
      <rPr>
        <sz val="11"/>
        <color theme="1"/>
        <rFont val="細明體"/>
        <family val="3"/>
        <charset val="136"/>
      </rPr>
      <t>月→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細明體"/>
        <family val="3"/>
        <charset val="136"/>
      </rPr>
      <t>月【你的確信數據】</t>
    </r>
    <r>
      <rPr>
        <sz val="11"/>
        <color theme="1"/>
        <rFont val="微軟正黑體"/>
        <family val="2"/>
        <charset val="136"/>
      </rPr>
      <t>）</t>
    </r>
    <r>
      <rPr>
        <sz val="11"/>
        <color theme="1"/>
        <rFont val="細明體"/>
        <family val="3"/>
        <charset val="136"/>
      </rPr>
      <t>＋稼動攤提</t>
    </r>
    <phoneticPr fontId="6" type="noConversion"/>
  </si>
  <si>
    <r>
      <t>mPPO</t>
    </r>
    <r>
      <rPr>
        <sz val="10"/>
        <rFont val="微軟正黑體"/>
        <family val="2"/>
        <charset val="136"/>
      </rPr>
      <t>叫貨軌跡：</t>
    </r>
    <r>
      <rPr>
        <sz val="10"/>
        <rFont val="Calibri"/>
        <family val="2"/>
      </rPr>
      <t>4-5</t>
    </r>
    <r>
      <rPr>
        <sz val="10"/>
        <rFont val="微軟正黑體"/>
        <family val="2"/>
        <charset val="136"/>
      </rPr>
      <t>月</t>
    </r>
    <r>
      <rPr>
        <sz val="10"/>
        <rFont val="新細明體"/>
        <family val="2"/>
        <charset val="136"/>
      </rPr>
      <t>→</t>
    </r>
    <r>
      <rPr>
        <sz val="10"/>
        <rFont val="Calibri"/>
        <family val="2"/>
      </rPr>
      <t>9</t>
    </r>
    <r>
      <rPr>
        <sz val="10"/>
        <rFont val="微軟正黑體"/>
        <family val="2"/>
        <charset val="136"/>
      </rPr>
      <t>月預告，為</t>
    </r>
    <r>
      <rPr>
        <sz val="10"/>
        <rFont val="Calibri"/>
        <family val="2"/>
      </rPr>
      <t>M7</t>
    </r>
    <r>
      <rPr>
        <sz val="10"/>
        <rFont val="微軟正黑體"/>
        <family val="2"/>
        <charset val="136"/>
      </rPr>
      <t>投產領先指標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</si>
</sst>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Noto Sans CJK SC"/>
      <family val="2"/>
    </font>
    <font>
      <sz val="9"/>
      <name val="細明體"/>
      <family val="3"/>
      <charset val="136"/>
    </font>
    <font>
      <sz val="11"/>
      <color theme="1"/>
      <name val="細明體"/>
      <family val="3"/>
      <charset val="136"/>
    </font>
    <font>
      <sz val="11"/>
      <color theme="1"/>
      <name val="NSimSun"/>
      <family val="3"/>
      <charset val="134"/>
    </font>
    <font>
      <sz val="11"/>
      <color theme="1"/>
      <name val="BatangChe"/>
      <family val="3"/>
      <charset val="129"/>
    </font>
    <font>
      <sz val="11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新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2" fontId="3" fillId="3" borderId="1" xfId="0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2" fontId="3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36" sqref="N36"/>
    </sheetView>
  </sheetViews>
  <sheetFormatPr defaultColWidth="8.7109375" defaultRowHeight="15"/>
  <cols>
    <col min="1" max="1" width="22" style="3" customWidth="1"/>
    <col min="2" max="43" width="9" style="3" customWidth="1"/>
    <col min="44" max="16384" width="8.7109375" style="3"/>
  </cols>
  <sheetData>
    <row r="1" spans="1:43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10" t="s">
        <v>42</v>
      </c>
    </row>
    <row r="2" spans="1:43">
      <c r="A2" s="1" t="s">
        <v>43</v>
      </c>
      <c r="B2" s="4">
        <v>31.64</v>
      </c>
      <c r="C2" s="4">
        <v>26.1</v>
      </c>
      <c r="D2" s="4">
        <v>33.700000000000003</v>
      </c>
      <c r="E2" s="4">
        <v>35.130000000000003</v>
      </c>
      <c r="F2" s="4">
        <v>38.03</v>
      </c>
      <c r="G2" s="4">
        <v>42.14</v>
      </c>
      <c r="H2" s="11">
        <v>44</v>
      </c>
      <c r="I2" s="11">
        <v>45.5</v>
      </c>
      <c r="J2" s="11">
        <v>47</v>
      </c>
      <c r="K2" s="11">
        <v>48.5</v>
      </c>
      <c r="L2" s="11">
        <v>50</v>
      </c>
      <c r="M2" s="11">
        <v>51</v>
      </c>
      <c r="N2" s="11">
        <v>49</v>
      </c>
      <c r="O2" s="11">
        <v>49</v>
      </c>
      <c r="P2" s="11">
        <v>50</v>
      </c>
      <c r="Q2" s="11">
        <v>51</v>
      </c>
      <c r="R2" s="11">
        <v>52</v>
      </c>
      <c r="S2" s="11">
        <v>52</v>
      </c>
      <c r="T2" s="11">
        <v>54</v>
      </c>
      <c r="U2" s="11">
        <v>55</v>
      </c>
      <c r="V2" s="11">
        <v>56</v>
      </c>
      <c r="W2" s="11">
        <v>57</v>
      </c>
      <c r="X2" s="11">
        <v>57</v>
      </c>
      <c r="Y2" s="11">
        <v>58</v>
      </c>
      <c r="Z2" s="11">
        <v>61</v>
      </c>
      <c r="AA2" s="11">
        <v>61</v>
      </c>
      <c r="AB2" s="11">
        <v>63</v>
      </c>
      <c r="AC2" s="11">
        <v>64</v>
      </c>
      <c r="AD2" s="11">
        <v>65</v>
      </c>
      <c r="AE2" s="11">
        <v>67</v>
      </c>
      <c r="AF2" s="11">
        <v>68</v>
      </c>
      <c r="AG2" s="11">
        <v>69</v>
      </c>
      <c r="AH2" s="11">
        <v>69</v>
      </c>
      <c r="AI2" s="11">
        <v>70</v>
      </c>
      <c r="AJ2" s="11">
        <v>71</v>
      </c>
      <c r="AK2" s="11">
        <v>72</v>
      </c>
      <c r="AL2" s="12">
        <f>SUM(B2:M2)</f>
        <v>492.74</v>
      </c>
      <c r="AM2" s="12">
        <f>SUM(N2:Y2)</f>
        <v>640</v>
      </c>
      <c r="AN2" s="12">
        <f>SUM(Z2:AK2)</f>
        <v>800</v>
      </c>
    </row>
    <row r="3" spans="1:43">
      <c r="A3" s="1" t="s">
        <v>44</v>
      </c>
      <c r="B3" s="5">
        <v>0.1142</v>
      </c>
      <c r="C3" s="5">
        <v>0.1142</v>
      </c>
      <c r="D3" s="5">
        <v>0.1142</v>
      </c>
      <c r="E3" s="5">
        <v>0.19500000000000001</v>
      </c>
      <c r="F3" s="5">
        <v>0.19500000000000001</v>
      </c>
      <c r="G3" s="5">
        <v>0.19500000000000001</v>
      </c>
      <c r="H3" s="13">
        <v>0.21</v>
      </c>
      <c r="I3" s="13">
        <v>0.21</v>
      </c>
      <c r="J3" s="13">
        <v>0.21</v>
      </c>
      <c r="K3" s="13">
        <v>0.22500000000000001</v>
      </c>
      <c r="L3" s="13">
        <v>0.22500000000000001</v>
      </c>
      <c r="M3" s="13">
        <v>0.22500000000000001</v>
      </c>
      <c r="N3" s="13">
        <v>0.23499999999999999</v>
      </c>
      <c r="O3" s="13">
        <v>0.23499999999999999</v>
      </c>
      <c r="P3" s="13">
        <v>0.23499999999999999</v>
      </c>
      <c r="Q3" s="13">
        <v>0.245</v>
      </c>
      <c r="R3" s="13">
        <v>0.245</v>
      </c>
      <c r="S3" s="13">
        <v>0.245</v>
      </c>
      <c r="T3" s="13">
        <v>0.255</v>
      </c>
      <c r="U3" s="13">
        <v>0.255</v>
      </c>
      <c r="V3" s="13">
        <v>0.255</v>
      </c>
      <c r="W3" s="13">
        <v>0.26</v>
      </c>
      <c r="X3" s="13">
        <v>0.26</v>
      </c>
      <c r="Y3" s="13">
        <v>0.26</v>
      </c>
      <c r="Z3" s="13">
        <v>0.26500000000000001</v>
      </c>
      <c r="AA3" s="13">
        <v>0.26500000000000001</v>
      </c>
      <c r="AB3" s="13">
        <v>0.26500000000000001</v>
      </c>
      <c r="AC3" s="13">
        <v>0.27</v>
      </c>
      <c r="AD3" s="13">
        <v>0.27</v>
      </c>
      <c r="AE3" s="13">
        <v>0.27</v>
      </c>
      <c r="AF3" s="13">
        <v>0.28000000000000003</v>
      </c>
      <c r="AG3" s="13">
        <v>0.28000000000000003</v>
      </c>
      <c r="AH3" s="13">
        <v>0.28000000000000003</v>
      </c>
      <c r="AI3" s="13">
        <v>0.28999999999999998</v>
      </c>
      <c r="AJ3" s="13">
        <v>0.28999999999999998</v>
      </c>
      <c r="AK3" s="13">
        <v>0.28999999999999998</v>
      </c>
      <c r="AL3" s="14">
        <f>AL4/AL2</f>
        <v>0.19326307586150912</v>
      </c>
      <c r="AM3" s="14">
        <f>AM4/AM2</f>
        <v>0.24929687500000003</v>
      </c>
      <c r="AN3" s="14">
        <f>AN4/AN2</f>
        <v>0.27674375000000001</v>
      </c>
    </row>
    <row r="4" spans="1:43">
      <c r="A4" s="1" t="s">
        <v>45</v>
      </c>
      <c r="B4" s="4">
        <f t="shared" ref="B4:AK4" si="0">B2*B3</f>
        <v>3.6132879999999998</v>
      </c>
      <c r="C4" s="4">
        <f t="shared" si="0"/>
        <v>2.98062</v>
      </c>
      <c r="D4" s="4">
        <f t="shared" si="0"/>
        <v>3.8485400000000003</v>
      </c>
      <c r="E4" s="4">
        <f t="shared" si="0"/>
        <v>6.8503500000000006</v>
      </c>
      <c r="F4" s="4">
        <f t="shared" si="0"/>
        <v>7.4158500000000007</v>
      </c>
      <c r="G4" s="4">
        <f t="shared" si="0"/>
        <v>8.2172999999999998</v>
      </c>
      <c r="H4" s="11">
        <f t="shared" si="0"/>
        <v>9.24</v>
      </c>
      <c r="I4" s="11">
        <f t="shared" si="0"/>
        <v>9.5549999999999997</v>
      </c>
      <c r="J4" s="11">
        <f t="shared" si="0"/>
        <v>9.8699999999999992</v>
      </c>
      <c r="K4" s="11">
        <f t="shared" si="0"/>
        <v>10.9125</v>
      </c>
      <c r="L4" s="11">
        <f t="shared" si="0"/>
        <v>11.25</v>
      </c>
      <c r="M4" s="11">
        <f t="shared" si="0"/>
        <v>11.475</v>
      </c>
      <c r="N4" s="11">
        <f t="shared" si="0"/>
        <v>11.514999999999999</v>
      </c>
      <c r="O4" s="11">
        <f t="shared" si="0"/>
        <v>11.514999999999999</v>
      </c>
      <c r="P4" s="11">
        <f t="shared" si="0"/>
        <v>11.75</v>
      </c>
      <c r="Q4" s="11">
        <f t="shared" si="0"/>
        <v>12.494999999999999</v>
      </c>
      <c r="R4" s="11">
        <f t="shared" si="0"/>
        <v>12.74</v>
      </c>
      <c r="S4" s="11">
        <f t="shared" si="0"/>
        <v>12.74</v>
      </c>
      <c r="T4" s="11">
        <f t="shared" si="0"/>
        <v>13.77</v>
      </c>
      <c r="U4" s="11">
        <f t="shared" si="0"/>
        <v>14.025</v>
      </c>
      <c r="V4" s="11">
        <f t="shared" si="0"/>
        <v>14.280000000000001</v>
      </c>
      <c r="W4" s="11">
        <f t="shared" si="0"/>
        <v>14.82</v>
      </c>
      <c r="X4" s="11">
        <f t="shared" si="0"/>
        <v>14.82</v>
      </c>
      <c r="Y4" s="11">
        <f t="shared" si="0"/>
        <v>15.08</v>
      </c>
      <c r="Z4" s="11">
        <f t="shared" si="0"/>
        <v>16.164999999999999</v>
      </c>
      <c r="AA4" s="11">
        <f t="shared" si="0"/>
        <v>16.164999999999999</v>
      </c>
      <c r="AB4" s="11">
        <f t="shared" si="0"/>
        <v>16.695</v>
      </c>
      <c r="AC4" s="11">
        <f t="shared" si="0"/>
        <v>17.28</v>
      </c>
      <c r="AD4" s="11">
        <f t="shared" si="0"/>
        <v>17.55</v>
      </c>
      <c r="AE4" s="11">
        <f t="shared" si="0"/>
        <v>18.09</v>
      </c>
      <c r="AF4" s="11">
        <f t="shared" si="0"/>
        <v>19.040000000000003</v>
      </c>
      <c r="AG4" s="11">
        <f t="shared" si="0"/>
        <v>19.32</v>
      </c>
      <c r="AH4" s="11">
        <f t="shared" si="0"/>
        <v>19.32</v>
      </c>
      <c r="AI4" s="11">
        <f t="shared" si="0"/>
        <v>20.299999999999997</v>
      </c>
      <c r="AJ4" s="11">
        <f t="shared" si="0"/>
        <v>20.59</v>
      </c>
      <c r="AK4" s="11">
        <f t="shared" si="0"/>
        <v>20.88</v>
      </c>
      <c r="AL4" s="12">
        <f>SUM(B4:M4)</f>
        <v>95.228448</v>
      </c>
      <c r="AM4" s="12">
        <f>SUM(N4:Y4)</f>
        <v>159.55000000000001</v>
      </c>
      <c r="AN4" s="12">
        <f>SUM(Z4:AK4)</f>
        <v>221.39500000000001</v>
      </c>
    </row>
    <row r="5" spans="1:43">
      <c r="A5" s="1" t="s">
        <v>46</v>
      </c>
      <c r="B5" s="5">
        <v>6.7799999999999999E-2</v>
      </c>
      <c r="C5" s="5">
        <v>6.7799999999999999E-2</v>
      </c>
      <c r="D5" s="5">
        <v>6.7799999999999999E-2</v>
      </c>
      <c r="E5" s="5">
        <v>6.5000000000000002E-2</v>
      </c>
      <c r="F5" s="5">
        <v>6.5000000000000002E-2</v>
      </c>
      <c r="G5" s="5">
        <v>6.5000000000000002E-2</v>
      </c>
      <c r="H5" s="13">
        <v>0.06</v>
      </c>
      <c r="I5" s="13">
        <v>0.06</v>
      </c>
      <c r="J5" s="13">
        <v>0.06</v>
      </c>
      <c r="K5" s="13">
        <v>5.8000000000000003E-2</v>
      </c>
      <c r="L5" s="13">
        <v>5.8000000000000003E-2</v>
      </c>
      <c r="M5" s="13">
        <v>5.8000000000000003E-2</v>
      </c>
      <c r="N5" s="13">
        <v>5.5E-2</v>
      </c>
      <c r="O5" s="13">
        <v>5.5E-2</v>
      </c>
      <c r="P5" s="13">
        <v>5.5E-2</v>
      </c>
      <c r="Q5" s="13">
        <v>5.5E-2</v>
      </c>
      <c r="R5" s="13">
        <v>5.5E-2</v>
      </c>
      <c r="S5" s="13">
        <v>5.5E-2</v>
      </c>
      <c r="T5" s="13">
        <v>5.5E-2</v>
      </c>
      <c r="U5" s="13">
        <v>5.5E-2</v>
      </c>
      <c r="V5" s="13">
        <v>5.5E-2</v>
      </c>
      <c r="W5" s="13">
        <v>5.5E-2</v>
      </c>
      <c r="X5" s="13">
        <v>5.5E-2</v>
      </c>
      <c r="Y5" s="13">
        <v>5.5E-2</v>
      </c>
      <c r="Z5" s="13">
        <v>5.1999999999999998E-2</v>
      </c>
      <c r="AA5" s="13">
        <v>5.1999999999999998E-2</v>
      </c>
      <c r="AB5" s="13">
        <v>5.1999999999999998E-2</v>
      </c>
      <c r="AC5" s="13">
        <v>5.1999999999999998E-2</v>
      </c>
      <c r="AD5" s="13">
        <v>5.1999999999999998E-2</v>
      </c>
      <c r="AE5" s="13">
        <v>5.1999999999999998E-2</v>
      </c>
      <c r="AF5" s="13">
        <v>5.1999999999999998E-2</v>
      </c>
      <c r="AG5" s="13">
        <v>5.1999999999999998E-2</v>
      </c>
      <c r="AH5" s="13">
        <v>5.1999999999999998E-2</v>
      </c>
      <c r="AI5" s="13">
        <v>5.1999999999999998E-2</v>
      </c>
      <c r="AJ5" s="13">
        <v>5.1999999999999998E-2</v>
      </c>
      <c r="AK5" s="13">
        <v>5.1999999999999998E-2</v>
      </c>
      <c r="AL5" s="14">
        <f>AL6/AL2</f>
        <v>6.2010658765271745E-2</v>
      </c>
      <c r="AM5" s="14">
        <f>AM6/AM2</f>
        <v>5.4999999999999993E-2</v>
      </c>
      <c r="AN5" s="14">
        <f>AN6/AN2</f>
        <v>5.2000000000000005E-2</v>
      </c>
    </row>
    <row r="6" spans="1:43">
      <c r="A6" s="1" t="s">
        <v>47</v>
      </c>
      <c r="B6" s="4">
        <f t="shared" ref="B6:AK6" si="1">B2*B5</f>
        <v>2.1451920000000002</v>
      </c>
      <c r="C6" s="4">
        <f t="shared" si="1"/>
        <v>1.7695800000000002</v>
      </c>
      <c r="D6" s="4">
        <f t="shared" si="1"/>
        <v>2.2848600000000001</v>
      </c>
      <c r="E6" s="4">
        <f t="shared" si="1"/>
        <v>2.2834500000000002</v>
      </c>
      <c r="F6" s="4">
        <f t="shared" si="1"/>
        <v>2.4719500000000001</v>
      </c>
      <c r="G6" s="4">
        <f t="shared" si="1"/>
        <v>2.7391000000000001</v>
      </c>
      <c r="H6" s="11">
        <f t="shared" si="1"/>
        <v>2.6399999999999997</v>
      </c>
      <c r="I6" s="11">
        <f t="shared" si="1"/>
        <v>2.73</v>
      </c>
      <c r="J6" s="11">
        <f t="shared" si="1"/>
        <v>2.82</v>
      </c>
      <c r="K6" s="11">
        <f t="shared" si="1"/>
        <v>2.8130000000000002</v>
      </c>
      <c r="L6" s="11">
        <f t="shared" si="1"/>
        <v>2.9000000000000004</v>
      </c>
      <c r="M6" s="11">
        <f t="shared" si="1"/>
        <v>2.9580000000000002</v>
      </c>
      <c r="N6" s="11">
        <f t="shared" si="1"/>
        <v>2.6949999999999998</v>
      </c>
      <c r="O6" s="11">
        <f t="shared" si="1"/>
        <v>2.6949999999999998</v>
      </c>
      <c r="P6" s="11">
        <f t="shared" si="1"/>
        <v>2.75</v>
      </c>
      <c r="Q6" s="11">
        <f t="shared" si="1"/>
        <v>2.8050000000000002</v>
      </c>
      <c r="R6" s="11">
        <f t="shared" si="1"/>
        <v>2.86</v>
      </c>
      <c r="S6" s="11">
        <f t="shared" si="1"/>
        <v>2.86</v>
      </c>
      <c r="T6" s="11">
        <f t="shared" si="1"/>
        <v>2.97</v>
      </c>
      <c r="U6" s="11">
        <f t="shared" si="1"/>
        <v>3.0249999999999999</v>
      </c>
      <c r="V6" s="11">
        <f t="shared" si="1"/>
        <v>3.08</v>
      </c>
      <c r="W6" s="11">
        <f t="shared" si="1"/>
        <v>3.1350000000000002</v>
      </c>
      <c r="X6" s="11">
        <f t="shared" si="1"/>
        <v>3.1350000000000002</v>
      </c>
      <c r="Y6" s="11">
        <f t="shared" si="1"/>
        <v>3.19</v>
      </c>
      <c r="Z6" s="11">
        <f t="shared" si="1"/>
        <v>3.1719999999999997</v>
      </c>
      <c r="AA6" s="11">
        <f t="shared" si="1"/>
        <v>3.1719999999999997</v>
      </c>
      <c r="AB6" s="11">
        <f t="shared" si="1"/>
        <v>3.2759999999999998</v>
      </c>
      <c r="AC6" s="11">
        <f t="shared" si="1"/>
        <v>3.3279999999999998</v>
      </c>
      <c r="AD6" s="11">
        <f t="shared" si="1"/>
        <v>3.38</v>
      </c>
      <c r="AE6" s="11">
        <f t="shared" si="1"/>
        <v>3.484</v>
      </c>
      <c r="AF6" s="11">
        <f t="shared" si="1"/>
        <v>3.536</v>
      </c>
      <c r="AG6" s="11">
        <f t="shared" si="1"/>
        <v>3.5879999999999996</v>
      </c>
      <c r="AH6" s="11">
        <f t="shared" si="1"/>
        <v>3.5879999999999996</v>
      </c>
      <c r="AI6" s="11">
        <f t="shared" si="1"/>
        <v>3.6399999999999997</v>
      </c>
      <c r="AJ6" s="11">
        <f t="shared" si="1"/>
        <v>3.6919999999999997</v>
      </c>
      <c r="AK6" s="11">
        <f t="shared" si="1"/>
        <v>3.7439999999999998</v>
      </c>
      <c r="AL6" s="12">
        <f>SUM(B6:M6)</f>
        <v>30.555132</v>
      </c>
      <c r="AM6" s="12">
        <f>SUM(N6:Y6)</f>
        <v>35.199999999999996</v>
      </c>
      <c r="AN6" s="12">
        <f>SUM(Z6:AK6)</f>
        <v>41.6</v>
      </c>
    </row>
    <row r="7" spans="1:43">
      <c r="A7" s="1" t="s">
        <v>48</v>
      </c>
      <c r="B7" s="4">
        <f t="shared" ref="B7:AN7" si="2">B4-B6</f>
        <v>1.4680959999999996</v>
      </c>
      <c r="C7" s="4">
        <f t="shared" si="2"/>
        <v>1.2110399999999999</v>
      </c>
      <c r="D7" s="4">
        <f t="shared" si="2"/>
        <v>1.5636800000000002</v>
      </c>
      <c r="E7" s="4">
        <f t="shared" si="2"/>
        <v>4.5669000000000004</v>
      </c>
      <c r="F7" s="4">
        <f t="shared" si="2"/>
        <v>4.9439000000000011</v>
      </c>
      <c r="G7" s="4">
        <f t="shared" si="2"/>
        <v>5.4781999999999993</v>
      </c>
      <c r="H7" s="11">
        <f t="shared" si="2"/>
        <v>6.6000000000000005</v>
      </c>
      <c r="I7" s="11">
        <f t="shared" si="2"/>
        <v>6.8249999999999993</v>
      </c>
      <c r="J7" s="11">
        <f t="shared" si="2"/>
        <v>7.0499999999999989</v>
      </c>
      <c r="K7" s="11">
        <f t="shared" si="2"/>
        <v>8.099499999999999</v>
      </c>
      <c r="L7" s="11">
        <f t="shared" si="2"/>
        <v>8.35</v>
      </c>
      <c r="M7" s="11">
        <f t="shared" si="2"/>
        <v>8.5169999999999995</v>
      </c>
      <c r="N7" s="11">
        <f t="shared" si="2"/>
        <v>8.8199999999999985</v>
      </c>
      <c r="O7" s="11">
        <f t="shared" si="2"/>
        <v>8.8199999999999985</v>
      </c>
      <c r="P7" s="11">
        <f t="shared" si="2"/>
        <v>9</v>
      </c>
      <c r="Q7" s="11">
        <f t="shared" si="2"/>
        <v>9.69</v>
      </c>
      <c r="R7" s="11">
        <f t="shared" si="2"/>
        <v>9.8800000000000008</v>
      </c>
      <c r="S7" s="11">
        <f t="shared" si="2"/>
        <v>9.8800000000000008</v>
      </c>
      <c r="T7" s="11">
        <f t="shared" si="2"/>
        <v>10.799999999999999</v>
      </c>
      <c r="U7" s="11">
        <f t="shared" si="2"/>
        <v>11</v>
      </c>
      <c r="V7" s="11">
        <f t="shared" si="2"/>
        <v>11.200000000000001</v>
      </c>
      <c r="W7" s="11">
        <f t="shared" si="2"/>
        <v>11.685</v>
      </c>
      <c r="X7" s="11">
        <f t="shared" si="2"/>
        <v>11.685</v>
      </c>
      <c r="Y7" s="11">
        <f t="shared" si="2"/>
        <v>11.89</v>
      </c>
      <c r="Z7" s="11">
        <f t="shared" si="2"/>
        <v>12.992999999999999</v>
      </c>
      <c r="AA7" s="11">
        <f t="shared" si="2"/>
        <v>12.992999999999999</v>
      </c>
      <c r="AB7" s="11">
        <f t="shared" si="2"/>
        <v>13.419</v>
      </c>
      <c r="AC7" s="11">
        <f t="shared" si="2"/>
        <v>13.952000000000002</v>
      </c>
      <c r="AD7" s="11">
        <f t="shared" si="2"/>
        <v>14.170000000000002</v>
      </c>
      <c r="AE7" s="11">
        <f t="shared" si="2"/>
        <v>14.606</v>
      </c>
      <c r="AF7" s="11">
        <f t="shared" si="2"/>
        <v>15.504000000000003</v>
      </c>
      <c r="AG7" s="11">
        <f t="shared" si="2"/>
        <v>15.732000000000001</v>
      </c>
      <c r="AH7" s="11">
        <f t="shared" si="2"/>
        <v>15.732000000000001</v>
      </c>
      <c r="AI7" s="11">
        <f t="shared" si="2"/>
        <v>16.659999999999997</v>
      </c>
      <c r="AJ7" s="11">
        <f t="shared" si="2"/>
        <v>16.898</v>
      </c>
      <c r="AK7" s="11">
        <f t="shared" si="2"/>
        <v>17.135999999999999</v>
      </c>
      <c r="AL7" s="12">
        <f t="shared" si="2"/>
        <v>64.673316</v>
      </c>
      <c r="AM7" s="12">
        <f t="shared" si="2"/>
        <v>124.35000000000002</v>
      </c>
      <c r="AN7" s="12">
        <f t="shared" si="2"/>
        <v>179.79500000000002</v>
      </c>
    </row>
    <row r="8" spans="1:43">
      <c r="A8" s="1" t="s">
        <v>49</v>
      </c>
      <c r="B8" s="5">
        <f t="shared" ref="B8:AN8" si="3">B7/B2</f>
        <v>4.639999999999999E-2</v>
      </c>
      <c r="C8" s="5">
        <f t="shared" si="3"/>
        <v>4.6399999999999997E-2</v>
      </c>
      <c r="D8" s="5">
        <f t="shared" si="3"/>
        <v>4.6400000000000004E-2</v>
      </c>
      <c r="E8" s="5">
        <f t="shared" si="3"/>
        <v>0.13</v>
      </c>
      <c r="F8" s="5">
        <f t="shared" si="3"/>
        <v>0.13000000000000003</v>
      </c>
      <c r="G8" s="5">
        <f t="shared" si="3"/>
        <v>0.12999999999999998</v>
      </c>
      <c r="H8" s="13">
        <f t="shared" si="3"/>
        <v>0.15000000000000002</v>
      </c>
      <c r="I8" s="13">
        <f t="shared" si="3"/>
        <v>0.15</v>
      </c>
      <c r="J8" s="13">
        <f t="shared" si="3"/>
        <v>0.14999999999999997</v>
      </c>
      <c r="K8" s="13">
        <f t="shared" si="3"/>
        <v>0.16699999999999998</v>
      </c>
      <c r="L8" s="13">
        <f t="shared" si="3"/>
        <v>0.16699999999999998</v>
      </c>
      <c r="M8" s="13">
        <f t="shared" si="3"/>
        <v>0.16699999999999998</v>
      </c>
      <c r="N8" s="13">
        <f t="shared" si="3"/>
        <v>0.17999999999999997</v>
      </c>
      <c r="O8" s="13">
        <f t="shared" si="3"/>
        <v>0.17999999999999997</v>
      </c>
      <c r="P8" s="13">
        <f t="shared" si="3"/>
        <v>0.18</v>
      </c>
      <c r="Q8" s="13">
        <f t="shared" si="3"/>
        <v>0.19</v>
      </c>
      <c r="R8" s="13">
        <f t="shared" si="3"/>
        <v>0.19</v>
      </c>
      <c r="S8" s="13">
        <f t="shared" si="3"/>
        <v>0.19</v>
      </c>
      <c r="T8" s="13">
        <f t="shared" si="3"/>
        <v>0.19999999999999998</v>
      </c>
      <c r="U8" s="13">
        <f t="shared" si="3"/>
        <v>0.2</v>
      </c>
      <c r="V8" s="13">
        <f t="shared" si="3"/>
        <v>0.2</v>
      </c>
      <c r="W8" s="13">
        <f t="shared" si="3"/>
        <v>0.20500000000000002</v>
      </c>
      <c r="X8" s="13">
        <f t="shared" si="3"/>
        <v>0.20500000000000002</v>
      </c>
      <c r="Y8" s="13">
        <f t="shared" si="3"/>
        <v>0.20500000000000002</v>
      </c>
      <c r="Z8" s="13">
        <f t="shared" si="3"/>
        <v>0.21299999999999997</v>
      </c>
      <c r="AA8" s="13">
        <f t="shared" si="3"/>
        <v>0.21299999999999997</v>
      </c>
      <c r="AB8" s="13">
        <f t="shared" si="3"/>
        <v>0.21299999999999999</v>
      </c>
      <c r="AC8" s="13">
        <f t="shared" si="3"/>
        <v>0.21800000000000003</v>
      </c>
      <c r="AD8" s="13">
        <f t="shared" si="3"/>
        <v>0.21800000000000003</v>
      </c>
      <c r="AE8" s="13">
        <f t="shared" si="3"/>
        <v>0.218</v>
      </c>
      <c r="AF8" s="13">
        <f t="shared" si="3"/>
        <v>0.22800000000000004</v>
      </c>
      <c r="AG8" s="13">
        <f t="shared" si="3"/>
        <v>0.22800000000000001</v>
      </c>
      <c r="AH8" s="13">
        <f t="shared" si="3"/>
        <v>0.22800000000000001</v>
      </c>
      <c r="AI8" s="13">
        <f t="shared" si="3"/>
        <v>0.23799999999999996</v>
      </c>
      <c r="AJ8" s="13">
        <f t="shared" si="3"/>
        <v>0.23799999999999999</v>
      </c>
      <c r="AK8" s="13">
        <f t="shared" si="3"/>
        <v>0.23799999999999999</v>
      </c>
      <c r="AL8" s="14">
        <f t="shared" si="3"/>
        <v>0.13125241709623736</v>
      </c>
      <c r="AM8" s="14">
        <f t="shared" si="3"/>
        <v>0.19429687500000004</v>
      </c>
      <c r="AN8" s="14">
        <f t="shared" si="3"/>
        <v>0.22474375000000002</v>
      </c>
    </row>
    <row r="9" spans="1:43">
      <c r="A9" s="1" t="s">
        <v>50</v>
      </c>
      <c r="B9" s="4">
        <v>0.2</v>
      </c>
      <c r="C9" s="4">
        <v>0.2</v>
      </c>
      <c r="D9" s="4">
        <v>0.2</v>
      </c>
      <c r="E9" s="4">
        <v>0.15</v>
      </c>
      <c r="F9" s="4">
        <v>0.15</v>
      </c>
      <c r="G9" s="4">
        <v>0.15</v>
      </c>
      <c r="H9" s="11">
        <v>0.15</v>
      </c>
      <c r="I9" s="11">
        <v>0.15</v>
      </c>
      <c r="J9" s="11">
        <v>0.15</v>
      </c>
      <c r="K9" s="11">
        <v>0.15</v>
      </c>
      <c r="L9" s="11">
        <v>0.15</v>
      </c>
      <c r="M9" s="11">
        <v>0.15</v>
      </c>
      <c r="N9" s="11">
        <v>0.25</v>
      </c>
      <c r="O9" s="11">
        <v>0.25</v>
      </c>
      <c r="P9" s="11">
        <v>0.25</v>
      </c>
      <c r="Q9" s="11">
        <v>0.25</v>
      </c>
      <c r="R9" s="11">
        <v>0.25</v>
      </c>
      <c r="S9" s="11">
        <v>0.25</v>
      </c>
      <c r="T9" s="11">
        <v>0.25</v>
      </c>
      <c r="U9" s="11">
        <v>0.25</v>
      </c>
      <c r="V9" s="11">
        <v>0.25</v>
      </c>
      <c r="W9" s="11">
        <v>0.25</v>
      </c>
      <c r="X9" s="11">
        <v>0.25</v>
      </c>
      <c r="Y9" s="11">
        <v>0.25</v>
      </c>
      <c r="Z9" s="11">
        <v>0.33</v>
      </c>
      <c r="AA9" s="11">
        <v>0.33</v>
      </c>
      <c r="AB9" s="11">
        <v>0.33</v>
      </c>
      <c r="AC9" s="11">
        <v>0.33</v>
      </c>
      <c r="AD9" s="11">
        <v>0.33</v>
      </c>
      <c r="AE9" s="11">
        <v>0.33</v>
      </c>
      <c r="AF9" s="11">
        <v>0.33</v>
      </c>
      <c r="AG9" s="11">
        <v>0.33</v>
      </c>
      <c r="AH9" s="11">
        <v>0.33</v>
      </c>
      <c r="AI9" s="11">
        <v>0.33</v>
      </c>
      <c r="AJ9" s="11">
        <v>0.33</v>
      </c>
      <c r="AK9" s="11">
        <v>0.33</v>
      </c>
      <c r="AL9" s="12">
        <f>SUM(B9:M9)</f>
        <v>1.9499999999999995</v>
      </c>
      <c r="AM9" s="12">
        <f>SUM(N9:Y9)</f>
        <v>3</v>
      </c>
      <c r="AN9" s="12">
        <f>SUM(Z9:AK9)</f>
        <v>3.9600000000000004</v>
      </c>
    </row>
    <row r="10" spans="1:43">
      <c r="A10" s="1" t="s">
        <v>51</v>
      </c>
      <c r="B10" s="5">
        <f t="shared" ref="B10:AN10" si="4">B11/B2</f>
        <v>5.2721112515802769E-2</v>
      </c>
      <c r="C10" s="5">
        <f t="shared" si="4"/>
        <v>5.4062835249042138E-2</v>
      </c>
      <c r="D10" s="5">
        <f t="shared" si="4"/>
        <v>5.2334718100890208E-2</v>
      </c>
      <c r="E10" s="5">
        <f t="shared" si="4"/>
        <v>0.13426985482493597</v>
      </c>
      <c r="F10" s="5">
        <f t="shared" si="4"/>
        <v>0.13394425453589276</v>
      </c>
      <c r="G10" s="5">
        <f t="shared" si="4"/>
        <v>0.13355956336022781</v>
      </c>
      <c r="H10" s="13">
        <f t="shared" si="4"/>
        <v>0.15340909090909094</v>
      </c>
      <c r="I10" s="13">
        <f t="shared" si="4"/>
        <v>0.15329670329670328</v>
      </c>
      <c r="J10" s="13">
        <f t="shared" si="4"/>
        <v>0.1531914893617021</v>
      </c>
      <c r="K10" s="13">
        <f t="shared" si="4"/>
        <v>0.17009278350515464</v>
      </c>
      <c r="L10" s="13">
        <f t="shared" si="4"/>
        <v>0.17</v>
      </c>
      <c r="M10" s="13">
        <f t="shared" si="4"/>
        <v>0.16994117647058823</v>
      </c>
      <c r="N10" s="13">
        <f t="shared" si="4"/>
        <v>0.1851020408163265</v>
      </c>
      <c r="O10" s="13">
        <f t="shared" si="4"/>
        <v>0.1851020408163265</v>
      </c>
      <c r="P10" s="13">
        <f t="shared" si="4"/>
        <v>0.185</v>
      </c>
      <c r="Q10" s="13">
        <f t="shared" si="4"/>
        <v>0.19490196078431371</v>
      </c>
      <c r="R10" s="13">
        <f t="shared" si="4"/>
        <v>0.19480769230769232</v>
      </c>
      <c r="S10" s="13">
        <f t="shared" si="4"/>
        <v>0.19480769230769232</v>
      </c>
      <c r="T10" s="13">
        <f t="shared" si="4"/>
        <v>0.20462962962962961</v>
      </c>
      <c r="U10" s="13">
        <f t="shared" si="4"/>
        <v>0.20454545454545456</v>
      </c>
      <c r="V10" s="13">
        <f t="shared" si="4"/>
        <v>0.20446428571428574</v>
      </c>
      <c r="W10" s="13">
        <f t="shared" si="4"/>
        <v>0.2093859649122807</v>
      </c>
      <c r="X10" s="13">
        <f t="shared" si="4"/>
        <v>0.2093859649122807</v>
      </c>
      <c r="Y10" s="13">
        <f t="shared" si="4"/>
        <v>0.2093103448275862</v>
      </c>
      <c r="Z10" s="13">
        <f t="shared" si="4"/>
        <v>0.21840983606557374</v>
      </c>
      <c r="AA10" s="13">
        <f t="shared" si="4"/>
        <v>0.21840983606557374</v>
      </c>
      <c r="AB10" s="13">
        <f t="shared" si="4"/>
        <v>0.21823809523809526</v>
      </c>
      <c r="AC10" s="13">
        <f t="shared" si="4"/>
        <v>0.22315625000000003</v>
      </c>
      <c r="AD10" s="13">
        <f t="shared" si="4"/>
        <v>0.22307692307692312</v>
      </c>
      <c r="AE10" s="13">
        <f t="shared" si="4"/>
        <v>0.22292537313432836</v>
      </c>
      <c r="AF10" s="13">
        <f t="shared" si="4"/>
        <v>0.23285294117647062</v>
      </c>
      <c r="AG10" s="13">
        <f t="shared" si="4"/>
        <v>0.2327826086956522</v>
      </c>
      <c r="AH10" s="13">
        <f t="shared" si="4"/>
        <v>0.2327826086956522</v>
      </c>
      <c r="AI10" s="13">
        <f t="shared" si="4"/>
        <v>0.24271428571428563</v>
      </c>
      <c r="AJ10" s="13">
        <f t="shared" si="4"/>
        <v>0.24264788732394363</v>
      </c>
      <c r="AK10" s="13">
        <f t="shared" si="4"/>
        <v>0.24258333333333329</v>
      </c>
      <c r="AL10" s="14">
        <f t="shared" si="4"/>
        <v>0.13520987944960833</v>
      </c>
      <c r="AM10" s="14">
        <f t="shared" si="4"/>
        <v>0.19898437500000005</v>
      </c>
      <c r="AN10" s="14">
        <f t="shared" si="4"/>
        <v>0.22969375000000003</v>
      </c>
    </row>
    <row r="11" spans="1:43">
      <c r="A11" s="1" t="s">
        <v>52</v>
      </c>
      <c r="B11" s="4">
        <f t="shared" ref="B11:AN11" si="5">B7+B9</f>
        <v>1.6680959999999996</v>
      </c>
      <c r="C11" s="4">
        <f t="shared" si="5"/>
        <v>1.4110399999999998</v>
      </c>
      <c r="D11" s="4">
        <f t="shared" si="5"/>
        <v>1.7636800000000001</v>
      </c>
      <c r="E11" s="4">
        <f t="shared" si="5"/>
        <v>4.7169000000000008</v>
      </c>
      <c r="F11" s="4">
        <f t="shared" si="5"/>
        <v>5.0939000000000014</v>
      </c>
      <c r="G11" s="4">
        <f t="shared" si="5"/>
        <v>5.6281999999999996</v>
      </c>
      <c r="H11" s="11">
        <f t="shared" si="5"/>
        <v>6.7500000000000009</v>
      </c>
      <c r="I11" s="11">
        <f t="shared" si="5"/>
        <v>6.9749999999999996</v>
      </c>
      <c r="J11" s="11">
        <f t="shared" si="5"/>
        <v>7.1999999999999993</v>
      </c>
      <c r="K11" s="11">
        <f t="shared" si="5"/>
        <v>8.2494999999999994</v>
      </c>
      <c r="L11" s="11">
        <f t="shared" si="5"/>
        <v>8.5</v>
      </c>
      <c r="M11" s="11">
        <f t="shared" si="5"/>
        <v>8.6669999999999998</v>
      </c>
      <c r="N11" s="11">
        <f t="shared" si="5"/>
        <v>9.0699999999999985</v>
      </c>
      <c r="O11" s="11">
        <f t="shared" si="5"/>
        <v>9.0699999999999985</v>
      </c>
      <c r="P11" s="11">
        <f t="shared" si="5"/>
        <v>9.25</v>
      </c>
      <c r="Q11" s="11">
        <f t="shared" si="5"/>
        <v>9.94</v>
      </c>
      <c r="R11" s="11">
        <f t="shared" si="5"/>
        <v>10.130000000000001</v>
      </c>
      <c r="S11" s="11">
        <f t="shared" si="5"/>
        <v>10.130000000000001</v>
      </c>
      <c r="T11" s="11">
        <f t="shared" si="5"/>
        <v>11.049999999999999</v>
      </c>
      <c r="U11" s="11">
        <f t="shared" si="5"/>
        <v>11.25</v>
      </c>
      <c r="V11" s="11">
        <f t="shared" si="5"/>
        <v>11.450000000000001</v>
      </c>
      <c r="W11" s="11">
        <f t="shared" si="5"/>
        <v>11.935</v>
      </c>
      <c r="X11" s="11">
        <f t="shared" si="5"/>
        <v>11.935</v>
      </c>
      <c r="Y11" s="11">
        <f t="shared" si="5"/>
        <v>12.14</v>
      </c>
      <c r="Z11" s="11">
        <f t="shared" si="5"/>
        <v>13.322999999999999</v>
      </c>
      <c r="AA11" s="11">
        <f t="shared" si="5"/>
        <v>13.322999999999999</v>
      </c>
      <c r="AB11" s="11">
        <f t="shared" si="5"/>
        <v>13.749000000000001</v>
      </c>
      <c r="AC11" s="11">
        <f t="shared" si="5"/>
        <v>14.282000000000002</v>
      </c>
      <c r="AD11" s="11">
        <f t="shared" si="5"/>
        <v>14.500000000000002</v>
      </c>
      <c r="AE11" s="11">
        <f t="shared" si="5"/>
        <v>14.936</v>
      </c>
      <c r="AF11" s="11">
        <f t="shared" si="5"/>
        <v>15.834000000000003</v>
      </c>
      <c r="AG11" s="11">
        <f t="shared" si="5"/>
        <v>16.062000000000001</v>
      </c>
      <c r="AH11" s="11">
        <f t="shared" si="5"/>
        <v>16.062000000000001</v>
      </c>
      <c r="AI11" s="11">
        <f t="shared" si="5"/>
        <v>16.989999999999995</v>
      </c>
      <c r="AJ11" s="11">
        <f t="shared" si="5"/>
        <v>17.227999999999998</v>
      </c>
      <c r="AK11" s="11">
        <f t="shared" si="5"/>
        <v>17.465999999999998</v>
      </c>
      <c r="AL11" s="12">
        <f t="shared" si="5"/>
        <v>66.623316000000003</v>
      </c>
      <c r="AM11" s="12">
        <f t="shared" si="5"/>
        <v>127.35000000000002</v>
      </c>
      <c r="AN11" s="12">
        <f t="shared" si="5"/>
        <v>183.75500000000002</v>
      </c>
    </row>
    <row r="12" spans="1:43">
      <c r="A12" s="1" t="s">
        <v>53</v>
      </c>
      <c r="B12" s="4">
        <f>B11*0.348</f>
        <v>0.58049740799999983</v>
      </c>
      <c r="C12" s="4">
        <f>C11*0.348</f>
        <v>0.49104191999999991</v>
      </c>
      <c r="D12" s="4">
        <f>D11*0.348</f>
        <v>0.61376063999999997</v>
      </c>
      <c r="E12" s="4">
        <f t="shared" ref="E12:M12" si="6">E11*0.32</f>
        <v>1.5094080000000003</v>
      </c>
      <c r="F12" s="4">
        <f t="shared" si="6"/>
        <v>1.6300480000000004</v>
      </c>
      <c r="G12" s="4">
        <f t="shared" si="6"/>
        <v>1.801024</v>
      </c>
      <c r="H12" s="11">
        <f t="shared" si="6"/>
        <v>2.16</v>
      </c>
      <c r="I12" s="11">
        <f t="shared" si="6"/>
        <v>2.2319999999999998</v>
      </c>
      <c r="J12" s="11">
        <f t="shared" si="6"/>
        <v>2.3039999999999998</v>
      </c>
      <c r="K12" s="11">
        <f t="shared" si="6"/>
        <v>2.63984</v>
      </c>
      <c r="L12" s="11">
        <f t="shared" si="6"/>
        <v>2.72</v>
      </c>
      <c r="M12" s="11">
        <f t="shared" si="6"/>
        <v>2.7734399999999999</v>
      </c>
      <c r="N12" s="11">
        <f t="shared" ref="N12:AK12" si="7">N11*0.3</f>
        <v>2.7209999999999996</v>
      </c>
      <c r="O12" s="11">
        <f t="shared" si="7"/>
        <v>2.7209999999999996</v>
      </c>
      <c r="P12" s="11">
        <f t="shared" si="7"/>
        <v>2.7749999999999999</v>
      </c>
      <c r="Q12" s="11">
        <f t="shared" si="7"/>
        <v>2.9819999999999998</v>
      </c>
      <c r="R12" s="11">
        <f t="shared" si="7"/>
        <v>3.0390000000000001</v>
      </c>
      <c r="S12" s="11">
        <f t="shared" si="7"/>
        <v>3.0390000000000001</v>
      </c>
      <c r="T12" s="11">
        <f t="shared" si="7"/>
        <v>3.3149999999999995</v>
      </c>
      <c r="U12" s="11">
        <f t="shared" si="7"/>
        <v>3.375</v>
      </c>
      <c r="V12" s="11">
        <f t="shared" si="7"/>
        <v>3.4350000000000001</v>
      </c>
      <c r="W12" s="11">
        <f t="shared" si="7"/>
        <v>3.5805000000000002</v>
      </c>
      <c r="X12" s="11">
        <f t="shared" si="7"/>
        <v>3.5805000000000002</v>
      </c>
      <c r="Y12" s="11">
        <f t="shared" si="7"/>
        <v>3.6419999999999999</v>
      </c>
      <c r="Z12" s="11">
        <f t="shared" si="7"/>
        <v>3.9968999999999992</v>
      </c>
      <c r="AA12" s="11">
        <f t="shared" si="7"/>
        <v>3.9968999999999992</v>
      </c>
      <c r="AB12" s="11">
        <f t="shared" si="7"/>
        <v>4.1246999999999998</v>
      </c>
      <c r="AC12" s="11">
        <f t="shared" si="7"/>
        <v>4.2846000000000002</v>
      </c>
      <c r="AD12" s="11">
        <f t="shared" si="7"/>
        <v>4.3500000000000005</v>
      </c>
      <c r="AE12" s="11">
        <f t="shared" si="7"/>
        <v>4.4807999999999995</v>
      </c>
      <c r="AF12" s="11">
        <f t="shared" si="7"/>
        <v>4.7502000000000004</v>
      </c>
      <c r="AG12" s="11">
        <f t="shared" si="7"/>
        <v>4.8186</v>
      </c>
      <c r="AH12" s="11">
        <f t="shared" si="7"/>
        <v>4.8186</v>
      </c>
      <c r="AI12" s="11">
        <f t="shared" si="7"/>
        <v>5.0969999999999986</v>
      </c>
      <c r="AJ12" s="11">
        <f t="shared" si="7"/>
        <v>5.1683999999999992</v>
      </c>
      <c r="AK12" s="11">
        <f t="shared" si="7"/>
        <v>5.2397999999999989</v>
      </c>
      <c r="AL12" s="12">
        <f>SUM(B12:M12)</f>
        <v>21.455059968</v>
      </c>
      <c r="AM12" s="12">
        <f>SUM(N12:Y12)</f>
        <v>38.204999999999998</v>
      </c>
      <c r="AN12" s="12">
        <f>SUM(Z12:AK12)</f>
        <v>55.126500000000007</v>
      </c>
    </row>
    <row r="13" spans="1:43">
      <c r="A13" s="1" t="s">
        <v>54</v>
      </c>
      <c r="B13" s="5">
        <f t="shared" ref="B13:AN13" si="8">B14/B2</f>
        <v>3.4374165360303403E-2</v>
      </c>
      <c r="C13" s="5">
        <f t="shared" si="8"/>
        <v>3.5248968582375473E-2</v>
      </c>
      <c r="D13" s="5">
        <f t="shared" si="8"/>
        <v>3.4122236201780419E-2</v>
      </c>
      <c r="E13" s="5">
        <f t="shared" si="8"/>
        <v>9.1303501280956448E-2</v>
      </c>
      <c r="F13" s="5">
        <f t="shared" si="8"/>
        <v>9.1082093084407068E-2</v>
      </c>
      <c r="G13" s="5">
        <f t="shared" si="8"/>
        <v>9.0820503084954901E-2</v>
      </c>
      <c r="H13" s="13">
        <f t="shared" si="8"/>
        <v>0.10431818181818184</v>
      </c>
      <c r="I13" s="13">
        <f t="shared" si="8"/>
        <v>0.10424175824175824</v>
      </c>
      <c r="J13" s="13">
        <f t="shared" si="8"/>
        <v>0.10417021276595742</v>
      </c>
      <c r="K13" s="13">
        <f t="shared" si="8"/>
        <v>0.11566309278350516</v>
      </c>
      <c r="L13" s="13">
        <f t="shared" si="8"/>
        <v>0.11559999999999998</v>
      </c>
      <c r="M13" s="13">
        <f t="shared" si="8"/>
        <v>0.11556</v>
      </c>
      <c r="N13" s="13">
        <f t="shared" si="8"/>
        <v>0.12957142857142853</v>
      </c>
      <c r="O13" s="13">
        <f t="shared" si="8"/>
        <v>0.12957142857142853</v>
      </c>
      <c r="P13" s="13">
        <f t="shared" si="8"/>
        <v>0.1295</v>
      </c>
      <c r="Q13" s="13">
        <f t="shared" si="8"/>
        <v>0.1364313725490196</v>
      </c>
      <c r="R13" s="13">
        <f t="shared" si="8"/>
        <v>0.13636538461538464</v>
      </c>
      <c r="S13" s="13">
        <f t="shared" si="8"/>
        <v>0.13636538461538464</v>
      </c>
      <c r="T13" s="13">
        <f t="shared" si="8"/>
        <v>0.14324074074074072</v>
      </c>
      <c r="U13" s="13">
        <f t="shared" si="8"/>
        <v>0.14318181818181819</v>
      </c>
      <c r="V13" s="13">
        <f t="shared" si="8"/>
        <v>0.143125</v>
      </c>
      <c r="W13" s="13">
        <f t="shared" si="8"/>
        <v>0.14657017543859649</v>
      </c>
      <c r="X13" s="13">
        <f t="shared" si="8"/>
        <v>0.14657017543859649</v>
      </c>
      <c r="Y13" s="13">
        <f t="shared" si="8"/>
        <v>0.14651724137931035</v>
      </c>
      <c r="Z13" s="13">
        <f t="shared" si="8"/>
        <v>0.15288688524590163</v>
      </c>
      <c r="AA13" s="13">
        <f t="shared" si="8"/>
        <v>0.15288688524590163</v>
      </c>
      <c r="AB13" s="13">
        <f t="shared" si="8"/>
        <v>0.15276666666666669</v>
      </c>
      <c r="AC13" s="13">
        <f t="shared" si="8"/>
        <v>0.15620937500000004</v>
      </c>
      <c r="AD13" s="13">
        <f t="shared" si="8"/>
        <v>0.1561538461538462</v>
      </c>
      <c r="AE13" s="13">
        <f t="shared" si="8"/>
        <v>0.15604776119402988</v>
      </c>
      <c r="AF13" s="13">
        <f t="shared" si="8"/>
        <v>0.16299705882352947</v>
      </c>
      <c r="AG13" s="13">
        <f t="shared" si="8"/>
        <v>0.16294782608695654</v>
      </c>
      <c r="AH13" s="13">
        <f t="shared" si="8"/>
        <v>0.16294782608695654</v>
      </c>
      <c r="AI13" s="13">
        <f t="shared" si="8"/>
        <v>0.16989999999999997</v>
      </c>
      <c r="AJ13" s="13">
        <f t="shared" si="8"/>
        <v>0.16985352112676055</v>
      </c>
      <c r="AK13" s="13">
        <f t="shared" si="8"/>
        <v>0.16980833333333331</v>
      </c>
      <c r="AL13" s="14">
        <f t="shared" si="8"/>
        <v>9.1667524520030852E-2</v>
      </c>
      <c r="AM13" s="14">
        <f t="shared" si="8"/>
        <v>0.13928906250000003</v>
      </c>
      <c r="AN13" s="14">
        <f t="shared" si="8"/>
        <v>0.16078562500000004</v>
      </c>
    </row>
    <row r="14" spans="1:43">
      <c r="A14" s="1" t="s">
        <v>55</v>
      </c>
      <c r="B14" s="4">
        <f t="shared" ref="B14:AN14" si="9">B11-B12</f>
        <v>1.0875985919999998</v>
      </c>
      <c r="C14" s="4">
        <f t="shared" si="9"/>
        <v>0.91999807999999994</v>
      </c>
      <c r="D14" s="4">
        <f t="shared" si="9"/>
        <v>1.1499193600000002</v>
      </c>
      <c r="E14" s="4">
        <f t="shared" si="9"/>
        <v>3.2074920000000002</v>
      </c>
      <c r="F14" s="4">
        <f t="shared" si="9"/>
        <v>3.463852000000001</v>
      </c>
      <c r="G14" s="4">
        <f t="shared" si="9"/>
        <v>3.8271759999999997</v>
      </c>
      <c r="H14" s="11">
        <f t="shared" si="9"/>
        <v>4.5900000000000007</v>
      </c>
      <c r="I14" s="11">
        <f t="shared" si="9"/>
        <v>4.7430000000000003</v>
      </c>
      <c r="J14" s="11">
        <f t="shared" si="9"/>
        <v>4.895999999999999</v>
      </c>
      <c r="K14" s="11">
        <f t="shared" si="9"/>
        <v>5.6096599999999999</v>
      </c>
      <c r="L14" s="11">
        <f t="shared" si="9"/>
        <v>5.7799999999999994</v>
      </c>
      <c r="M14" s="11">
        <f t="shared" si="9"/>
        <v>5.8935599999999999</v>
      </c>
      <c r="N14" s="11">
        <f t="shared" si="9"/>
        <v>6.3489999999999984</v>
      </c>
      <c r="O14" s="11">
        <f t="shared" si="9"/>
        <v>6.3489999999999984</v>
      </c>
      <c r="P14" s="11">
        <f t="shared" si="9"/>
        <v>6.4749999999999996</v>
      </c>
      <c r="Q14" s="11">
        <f t="shared" si="9"/>
        <v>6.9580000000000002</v>
      </c>
      <c r="R14" s="11">
        <f t="shared" si="9"/>
        <v>7.0910000000000011</v>
      </c>
      <c r="S14" s="11">
        <f t="shared" si="9"/>
        <v>7.0910000000000011</v>
      </c>
      <c r="T14" s="11">
        <f t="shared" si="9"/>
        <v>7.7349999999999994</v>
      </c>
      <c r="U14" s="11">
        <f t="shared" si="9"/>
        <v>7.875</v>
      </c>
      <c r="V14" s="11">
        <f t="shared" si="9"/>
        <v>8.0150000000000006</v>
      </c>
      <c r="W14" s="11">
        <f t="shared" si="9"/>
        <v>8.3544999999999998</v>
      </c>
      <c r="X14" s="11">
        <f t="shared" si="9"/>
        <v>8.3544999999999998</v>
      </c>
      <c r="Y14" s="11">
        <f t="shared" si="9"/>
        <v>8.4980000000000011</v>
      </c>
      <c r="Z14" s="11">
        <f t="shared" si="9"/>
        <v>9.3261000000000003</v>
      </c>
      <c r="AA14" s="11">
        <f t="shared" si="9"/>
        <v>9.3261000000000003</v>
      </c>
      <c r="AB14" s="11">
        <f t="shared" si="9"/>
        <v>9.6243000000000016</v>
      </c>
      <c r="AC14" s="11">
        <f t="shared" si="9"/>
        <v>9.9974000000000025</v>
      </c>
      <c r="AD14" s="11">
        <f t="shared" si="9"/>
        <v>10.150000000000002</v>
      </c>
      <c r="AE14" s="11">
        <f t="shared" si="9"/>
        <v>10.455200000000001</v>
      </c>
      <c r="AF14" s="11">
        <f t="shared" si="9"/>
        <v>11.083800000000004</v>
      </c>
      <c r="AG14" s="11">
        <f t="shared" si="9"/>
        <v>11.243400000000001</v>
      </c>
      <c r="AH14" s="11">
        <f t="shared" si="9"/>
        <v>11.243400000000001</v>
      </c>
      <c r="AI14" s="11">
        <f t="shared" si="9"/>
        <v>11.892999999999997</v>
      </c>
      <c r="AJ14" s="11">
        <f t="shared" si="9"/>
        <v>12.0596</v>
      </c>
      <c r="AK14" s="11">
        <f t="shared" si="9"/>
        <v>12.226199999999999</v>
      </c>
      <c r="AL14" s="12">
        <f t="shared" si="9"/>
        <v>45.168256032000002</v>
      </c>
      <c r="AM14" s="12">
        <f t="shared" si="9"/>
        <v>89.145000000000024</v>
      </c>
      <c r="AN14" s="12">
        <f t="shared" si="9"/>
        <v>128.62850000000003</v>
      </c>
    </row>
    <row r="15" spans="1:43">
      <c r="A15" s="1" t="s">
        <v>56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3">
        <v>1</v>
      </c>
      <c r="P15" s="13">
        <v>1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>
        <v>1</v>
      </c>
      <c r="W15" s="13">
        <v>1</v>
      </c>
      <c r="X15" s="13">
        <v>1</v>
      </c>
      <c r="Y15" s="13">
        <v>1</v>
      </c>
      <c r="Z15" s="13">
        <v>1</v>
      </c>
      <c r="AA15" s="13">
        <v>1</v>
      </c>
      <c r="AB15" s="13">
        <v>1</v>
      </c>
      <c r="AC15" s="13">
        <v>1</v>
      </c>
      <c r="AD15" s="13">
        <v>1</v>
      </c>
      <c r="AE15" s="13">
        <v>1</v>
      </c>
      <c r="AF15" s="13">
        <v>1</v>
      </c>
      <c r="AG15" s="13">
        <v>1</v>
      </c>
      <c r="AH15" s="13">
        <v>1</v>
      </c>
      <c r="AI15" s="13">
        <v>1</v>
      </c>
      <c r="AJ15" s="13">
        <v>1</v>
      </c>
      <c r="AK15" s="13">
        <v>1</v>
      </c>
      <c r="AL15" s="14">
        <v>1</v>
      </c>
      <c r="AM15" s="14">
        <v>1</v>
      </c>
      <c r="AN15" s="14">
        <v>1</v>
      </c>
    </row>
    <row r="16" spans="1:43">
      <c r="A16" s="1" t="s">
        <v>57</v>
      </c>
      <c r="B16" s="5">
        <f t="shared" ref="B16:AN16" si="10">B17/B2</f>
        <v>3.4374165360303403E-2</v>
      </c>
      <c r="C16" s="5">
        <f t="shared" si="10"/>
        <v>3.5248968582375473E-2</v>
      </c>
      <c r="D16" s="5">
        <f t="shared" si="10"/>
        <v>3.4122236201780419E-2</v>
      </c>
      <c r="E16" s="5">
        <f t="shared" si="10"/>
        <v>9.1303501280956448E-2</v>
      </c>
      <c r="F16" s="5">
        <f t="shared" si="10"/>
        <v>9.1082093084407068E-2</v>
      </c>
      <c r="G16" s="5">
        <f t="shared" si="10"/>
        <v>9.0820503084954901E-2</v>
      </c>
      <c r="H16" s="13">
        <f t="shared" si="10"/>
        <v>0.10431818181818184</v>
      </c>
      <c r="I16" s="13">
        <f t="shared" si="10"/>
        <v>0.10424175824175824</v>
      </c>
      <c r="J16" s="13">
        <f t="shared" si="10"/>
        <v>0.10417021276595742</v>
      </c>
      <c r="K16" s="13">
        <f t="shared" si="10"/>
        <v>0.11566309278350516</v>
      </c>
      <c r="L16" s="13">
        <f t="shared" si="10"/>
        <v>0.11559999999999998</v>
      </c>
      <c r="M16" s="13">
        <f t="shared" si="10"/>
        <v>0.11556</v>
      </c>
      <c r="N16" s="13">
        <f t="shared" si="10"/>
        <v>0.12957142857142853</v>
      </c>
      <c r="O16" s="13">
        <f t="shared" si="10"/>
        <v>0.12957142857142853</v>
      </c>
      <c r="P16" s="13">
        <f t="shared" si="10"/>
        <v>0.1295</v>
      </c>
      <c r="Q16" s="13">
        <f t="shared" si="10"/>
        <v>0.1364313725490196</v>
      </c>
      <c r="R16" s="13">
        <f t="shared" si="10"/>
        <v>0.13636538461538464</v>
      </c>
      <c r="S16" s="13">
        <f t="shared" si="10"/>
        <v>0.13636538461538464</v>
      </c>
      <c r="T16" s="13">
        <f t="shared" si="10"/>
        <v>0.14324074074074072</v>
      </c>
      <c r="U16" s="13">
        <f t="shared" si="10"/>
        <v>0.14318181818181819</v>
      </c>
      <c r="V16" s="13">
        <f t="shared" si="10"/>
        <v>0.143125</v>
      </c>
      <c r="W16" s="13">
        <f t="shared" si="10"/>
        <v>0.14657017543859649</v>
      </c>
      <c r="X16" s="13">
        <f t="shared" si="10"/>
        <v>0.14657017543859649</v>
      </c>
      <c r="Y16" s="13">
        <f t="shared" si="10"/>
        <v>0.14651724137931035</v>
      </c>
      <c r="Z16" s="13">
        <f t="shared" si="10"/>
        <v>0.15288688524590163</v>
      </c>
      <c r="AA16" s="13">
        <f t="shared" si="10"/>
        <v>0.15288688524590163</v>
      </c>
      <c r="AB16" s="13">
        <f t="shared" si="10"/>
        <v>0.15276666666666669</v>
      </c>
      <c r="AC16" s="13">
        <f t="shared" si="10"/>
        <v>0.15620937500000004</v>
      </c>
      <c r="AD16" s="13">
        <f t="shared" si="10"/>
        <v>0.1561538461538462</v>
      </c>
      <c r="AE16" s="13">
        <f t="shared" si="10"/>
        <v>0.15604776119402988</v>
      </c>
      <c r="AF16" s="13">
        <f t="shared" si="10"/>
        <v>0.16299705882352947</v>
      </c>
      <c r="AG16" s="13">
        <f t="shared" si="10"/>
        <v>0.16294782608695654</v>
      </c>
      <c r="AH16" s="13">
        <f t="shared" si="10"/>
        <v>0.16294782608695654</v>
      </c>
      <c r="AI16" s="13">
        <f t="shared" si="10"/>
        <v>0.16989999999999997</v>
      </c>
      <c r="AJ16" s="13">
        <f t="shared" si="10"/>
        <v>0.16985352112676055</v>
      </c>
      <c r="AK16" s="13">
        <f t="shared" si="10"/>
        <v>0.16980833333333331</v>
      </c>
      <c r="AL16" s="14">
        <f t="shared" si="10"/>
        <v>9.1667524520030852E-2</v>
      </c>
      <c r="AM16" s="14">
        <f t="shared" si="10"/>
        <v>0.13928906250000003</v>
      </c>
      <c r="AN16" s="14">
        <f t="shared" si="10"/>
        <v>0.16078562500000004</v>
      </c>
    </row>
    <row r="17" spans="1:43">
      <c r="A17" s="1" t="s">
        <v>58</v>
      </c>
      <c r="B17" s="4">
        <f t="shared" ref="B17:AN17" si="11">B14*B15</f>
        <v>1.0875985919999998</v>
      </c>
      <c r="C17" s="4">
        <f t="shared" si="11"/>
        <v>0.91999807999999994</v>
      </c>
      <c r="D17" s="4">
        <f t="shared" si="11"/>
        <v>1.1499193600000002</v>
      </c>
      <c r="E17" s="4">
        <f t="shared" si="11"/>
        <v>3.2074920000000002</v>
      </c>
      <c r="F17" s="4">
        <f t="shared" si="11"/>
        <v>3.463852000000001</v>
      </c>
      <c r="G17" s="4">
        <f t="shared" si="11"/>
        <v>3.8271759999999997</v>
      </c>
      <c r="H17" s="11">
        <f t="shared" si="11"/>
        <v>4.5900000000000007</v>
      </c>
      <c r="I17" s="11">
        <f t="shared" si="11"/>
        <v>4.7430000000000003</v>
      </c>
      <c r="J17" s="11">
        <f t="shared" si="11"/>
        <v>4.895999999999999</v>
      </c>
      <c r="K17" s="11">
        <f t="shared" si="11"/>
        <v>5.6096599999999999</v>
      </c>
      <c r="L17" s="11">
        <f t="shared" si="11"/>
        <v>5.7799999999999994</v>
      </c>
      <c r="M17" s="11">
        <f t="shared" si="11"/>
        <v>5.8935599999999999</v>
      </c>
      <c r="N17" s="11">
        <f t="shared" si="11"/>
        <v>6.3489999999999984</v>
      </c>
      <c r="O17" s="11">
        <f t="shared" si="11"/>
        <v>6.3489999999999984</v>
      </c>
      <c r="P17" s="11">
        <f t="shared" si="11"/>
        <v>6.4749999999999996</v>
      </c>
      <c r="Q17" s="11">
        <f t="shared" si="11"/>
        <v>6.9580000000000002</v>
      </c>
      <c r="R17" s="11">
        <f t="shared" si="11"/>
        <v>7.0910000000000011</v>
      </c>
      <c r="S17" s="11">
        <f t="shared" si="11"/>
        <v>7.0910000000000011</v>
      </c>
      <c r="T17" s="11">
        <f t="shared" si="11"/>
        <v>7.7349999999999994</v>
      </c>
      <c r="U17" s="11">
        <f t="shared" si="11"/>
        <v>7.875</v>
      </c>
      <c r="V17" s="11">
        <f t="shared" si="11"/>
        <v>8.0150000000000006</v>
      </c>
      <c r="W17" s="11">
        <f t="shared" si="11"/>
        <v>8.3544999999999998</v>
      </c>
      <c r="X17" s="11">
        <f t="shared" si="11"/>
        <v>8.3544999999999998</v>
      </c>
      <c r="Y17" s="11">
        <f t="shared" si="11"/>
        <v>8.4980000000000011</v>
      </c>
      <c r="Z17" s="11">
        <f t="shared" si="11"/>
        <v>9.3261000000000003</v>
      </c>
      <c r="AA17" s="11">
        <f t="shared" si="11"/>
        <v>9.3261000000000003</v>
      </c>
      <c r="AB17" s="11">
        <f t="shared" si="11"/>
        <v>9.6243000000000016</v>
      </c>
      <c r="AC17" s="11">
        <f t="shared" si="11"/>
        <v>9.9974000000000025</v>
      </c>
      <c r="AD17" s="11">
        <f t="shared" si="11"/>
        <v>10.150000000000002</v>
      </c>
      <c r="AE17" s="11">
        <f t="shared" si="11"/>
        <v>10.455200000000001</v>
      </c>
      <c r="AF17" s="11">
        <f t="shared" si="11"/>
        <v>11.083800000000004</v>
      </c>
      <c r="AG17" s="11">
        <f t="shared" si="11"/>
        <v>11.243400000000001</v>
      </c>
      <c r="AH17" s="11">
        <f t="shared" si="11"/>
        <v>11.243400000000001</v>
      </c>
      <c r="AI17" s="11">
        <f t="shared" si="11"/>
        <v>11.892999999999997</v>
      </c>
      <c r="AJ17" s="11">
        <f t="shared" si="11"/>
        <v>12.0596</v>
      </c>
      <c r="AK17" s="11">
        <f t="shared" si="11"/>
        <v>12.226199999999999</v>
      </c>
      <c r="AL17" s="12">
        <f t="shared" si="11"/>
        <v>45.168256032000002</v>
      </c>
      <c r="AM17" s="12">
        <f t="shared" si="11"/>
        <v>89.145000000000024</v>
      </c>
      <c r="AN17" s="12">
        <f t="shared" si="11"/>
        <v>128.62850000000003</v>
      </c>
    </row>
    <row r="18" spans="1:43">
      <c r="A18" s="1" t="s">
        <v>59</v>
      </c>
      <c r="B18" s="6">
        <v>3.6349999999999998</v>
      </c>
      <c r="C18" s="6">
        <v>3.6349999999999998</v>
      </c>
      <c r="D18" s="6">
        <v>3.6349999999999998</v>
      </c>
      <c r="E18" s="6">
        <v>3.6349999999999998</v>
      </c>
      <c r="F18" s="6">
        <v>3.6349999999999998</v>
      </c>
      <c r="G18" s="6">
        <v>3.6349999999999998</v>
      </c>
      <c r="H18" s="15">
        <v>3.6349999999999998</v>
      </c>
      <c r="I18" s="15">
        <v>3.6349999999999998</v>
      </c>
      <c r="J18" s="15">
        <v>3.6349999999999998</v>
      </c>
      <c r="K18" s="15">
        <v>3.6349999999999998</v>
      </c>
      <c r="L18" s="15">
        <v>3.6349999999999998</v>
      </c>
      <c r="M18" s="15">
        <v>3.6349999999999998</v>
      </c>
      <c r="N18" s="15">
        <v>3.6349999999999998</v>
      </c>
      <c r="O18" s="15">
        <v>3.6349999999999998</v>
      </c>
      <c r="P18" s="15">
        <v>3.6349999999999998</v>
      </c>
      <c r="Q18" s="15">
        <v>3.6349999999999998</v>
      </c>
      <c r="R18" s="15">
        <v>3.6349999999999998</v>
      </c>
      <c r="S18" s="15">
        <v>3.6349999999999998</v>
      </c>
      <c r="T18" s="15">
        <v>3.6349999999999998</v>
      </c>
      <c r="U18" s="15">
        <v>3.6349999999999998</v>
      </c>
      <c r="V18" s="15">
        <v>3.6349999999999998</v>
      </c>
      <c r="W18" s="15">
        <v>3.6349999999999998</v>
      </c>
      <c r="X18" s="15">
        <v>3.6349999999999998</v>
      </c>
      <c r="Y18" s="15">
        <v>3.6349999999999998</v>
      </c>
      <c r="Z18" s="15">
        <v>3.6349999999999998</v>
      </c>
      <c r="AA18" s="15">
        <v>3.6349999999999998</v>
      </c>
      <c r="AB18" s="15">
        <v>3.6349999999999998</v>
      </c>
      <c r="AC18" s="15">
        <v>3.6349999999999998</v>
      </c>
      <c r="AD18" s="15">
        <v>3.6349999999999998</v>
      </c>
      <c r="AE18" s="15">
        <v>3.6349999999999998</v>
      </c>
      <c r="AF18" s="15">
        <v>3.6349999999999998</v>
      </c>
      <c r="AG18" s="15">
        <v>3.6349999999999998</v>
      </c>
      <c r="AH18" s="15">
        <v>3.6349999999999998</v>
      </c>
      <c r="AI18" s="15">
        <v>3.6349999999999998</v>
      </c>
      <c r="AJ18" s="15">
        <v>3.6349999999999998</v>
      </c>
      <c r="AK18" s="15">
        <v>3.6349999999999998</v>
      </c>
      <c r="AL18" s="16">
        <v>3.6349999999999998</v>
      </c>
      <c r="AM18" s="16">
        <v>3.6349999999999998</v>
      </c>
      <c r="AN18" s="16">
        <v>3.6349999999999998</v>
      </c>
    </row>
    <row r="19" spans="1:43">
      <c r="A19" s="7" t="s">
        <v>60</v>
      </c>
      <c r="B19" s="4">
        <f t="shared" ref="B19:AN19" si="12">B17/B18</f>
        <v>0.29920181348005498</v>
      </c>
      <c r="C19" s="4">
        <f t="shared" si="12"/>
        <v>0.25309438239339754</v>
      </c>
      <c r="D19" s="4">
        <f t="shared" si="12"/>
        <v>0.31634645392022015</v>
      </c>
      <c r="E19" s="4">
        <f t="shared" si="12"/>
        <v>0.8823911966987622</v>
      </c>
      <c r="F19" s="4">
        <f t="shared" si="12"/>
        <v>0.95291664374140339</v>
      </c>
      <c r="G19" s="4">
        <f t="shared" si="12"/>
        <v>1.0528682255845943</v>
      </c>
      <c r="H19" s="11">
        <f t="shared" si="12"/>
        <v>1.2627235213204955</v>
      </c>
      <c r="I19" s="11">
        <f t="shared" si="12"/>
        <v>1.3048143053645118</v>
      </c>
      <c r="J19" s="11">
        <f t="shared" si="12"/>
        <v>1.3469050894085279</v>
      </c>
      <c r="K19" s="11">
        <f t="shared" si="12"/>
        <v>1.5432352132049518</v>
      </c>
      <c r="L19" s="11">
        <f t="shared" si="12"/>
        <v>1.5900962861072903</v>
      </c>
      <c r="M19" s="11">
        <f t="shared" si="12"/>
        <v>1.621337001375516</v>
      </c>
      <c r="N19" s="11">
        <f t="shared" si="12"/>
        <v>1.7466299862448416</v>
      </c>
      <c r="O19" s="11">
        <f t="shared" si="12"/>
        <v>1.7466299862448416</v>
      </c>
      <c r="P19" s="11">
        <f t="shared" si="12"/>
        <v>1.781292984869326</v>
      </c>
      <c r="Q19" s="11">
        <f t="shared" si="12"/>
        <v>1.9141678129298489</v>
      </c>
      <c r="R19" s="11">
        <f t="shared" si="12"/>
        <v>1.950756533700138</v>
      </c>
      <c r="S19" s="11">
        <f t="shared" si="12"/>
        <v>1.950756533700138</v>
      </c>
      <c r="T19" s="11">
        <f t="shared" si="12"/>
        <v>2.1279229711141676</v>
      </c>
      <c r="U19" s="11">
        <f t="shared" si="12"/>
        <v>2.1664374140302614</v>
      </c>
      <c r="V19" s="11">
        <f t="shared" si="12"/>
        <v>2.2049518569463551</v>
      </c>
      <c r="W19" s="11">
        <f t="shared" si="12"/>
        <v>2.2983493810178817</v>
      </c>
      <c r="X19" s="11">
        <f t="shared" si="12"/>
        <v>2.2983493810178817</v>
      </c>
      <c r="Y19" s="11">
        <f t="shared" si="12"/>
        <v>2.3378266850068781</v>
      </c>
      <c r="Z19" s="11">
        <f t="shared" si="12"/>
        <v>2.5656396148555709</v>
      </c>
      <c r="AA19" s="11">
        <f t="shared" si="12"/>
        <v>2.5656396148555709</v>
      </c>
      <c r="AB19" s="11">
        <f t="shared" si="12"/>
        <v>2.6476753782668507</v>
      </c>
      <c r="AC19" s="11">
        <f t="shared" si="12"/>
        <v>2.7503163686382401</v>
      </c>
      <c r="AD19" s="11">
        <f t="shared" si="12"/>
        <v>2.7922971114167821</v>
      </c>
      <c r="AE19" s="11">
        <f t="shared" si="12"/>
        <v>2.8762585969738659</v>
      </c>
      <c r="AF19" s="11">
        <f t="shared" si="12"/>
        <v>3.0491884456671263</v>
      </c>
      <c r="AG19" s="11">
        <f t="shared" si="12"/>
        <v>3.0930949105914722</v>
      </c>
      <c r="AH19" s="11">
        <f t="shared" si="12"/>
        <v>3.0930949105914722</v>
      </c>
      <c r="AI19" s="11">
        <f t="shared" si="12"/>
        <v>3.2718019257221451</v>
      </c>
      <c r="AJ19" s="11">
        <f t="shared" si="12"/>
        <v>3.3176341127922973</v>
      </c>
      <c r="AK19" s="11">
        <f t="shared" si="12"/>
        <v>3.3634662998624481</v>
      </c>
      <c r="AL19" s="12">
        <f t="shared" si="12"/>
        <v>12.425930132599726</v>
      </c>
      <c r="AM19" s="12">
        <f t="shared" si="12"/>
        <v>24.524071526822567</v>
      </c>
      <c r="AN19" s="12">
        <f t="shared" si="12"/>
        <v>35.386107290233845</v>
      </c>
      <c r="AO19" s="12">
        <v>9.5399999999999991</v>
      </c>
      <c r="AP19" s="12">
        <v>17.14</v>
      </c>
      <c r="AQ19" s="12">
        <v>14.8</v>
      </c>
    </row>
    <row r="20" spans="1:43">
      <c r="A20" s="7" t="s">
        <v>61</v>
      </c>
      <c r="B20" s="23">
        <f>SUM(B19:D19)</f>
        <v>0.86864264979367256</v>
      </c>
      <c r="C20" s="23"/>
      <c r="D20" s="23"/>
      <c r="E20" s="23">
        <f>SUM(E19:G19)</f>
        <v>2.88817606602476</v>
      </c>
      <c r="F20" s="23"/>
      <c r="G20" s="23"/>
      <c r="H20" s="20">
        <f>SUM(H19:J19)</f>
        <v>3.9144429160935355</v>
      </c>
      <c r="I20" s="20"/>
      <c r="J20" s="20"/>
      <c r="K20" s="20">
        <f>SUM(K19:M19)</f>
        <v>4.7546685006877585</v>
      </c>
      <c r="L20" s="20"/>
      <c r="M20" s="20"/>
      <c r="N20" s="20">
        <f>SUM(N19:P19)</f>
        <v>5.2745529573590089</v>
      </c>
      <c r="O20" s="20"/>
      <c r="P20" s="20"/>
      <c r="Q20" s="20">
        <f>SUM(Q19:S19)</f>
        <v>5.8156808803301256</v>
      </c>
      <c r="R20" s="20"/>
      <c r="S20" s="20"/>
      <c r="T20" s="20">
        <f>SUM(T19:V19)</f>
        <v>6.4993122420907845</v>
      </c>
      <c r="U20" s="20"/>
      <c r="V20" s="20"/>
      <c r="W20" s="20">
        <f>SUM(W19:Y19)</f>
        <v>6.9345254470426418</v>
      </c>
      <c r="X20" s="20"/>
      <c r="Y20" s="20"/>
      <c r="Z20" s="20">
        <f>SUM(Z19:AB19)</f>
        <v>7.7789546079779921</v>
      </c>
      <c r="AA20" s="20"/>
      <c r="AB20" s="20"/>
      <c r="AC20" s="20">
        <f>SUM(AC19:AE19)</f>
        <v>8.4188720770288885</v>
      </c>
      <c r="AD20" s="20"/>
      <c r="AE20" s="20"/>
      <c r="AF20" s="20">
        <f>SUM(AF19:AH19)</f>
        <v>9.2353782668500699</v>
      </c>
      <c r="AG20" s="20"/>
      <c r="AH20" s="20"/>
      <c r="AI20" s="20">
        <f>SUM(AI19:AK19)</f>
        <v>9.9529023383768909</v>
      </c>
      <c r="AJ20" s="20"/>
      <c r="AK20" s="20"/>
      <c r="AL20" s="12">
        <f>AL19</f>
        <v>12.425930132599726</v>
      </c>
      <c r="AM20" s="12">
        <f>AM19</f>
        <v>24.524071526822567</v>
      </c>
      <c r="AN20" s="12">
        <f>AN19</f>
        <v>35.386107290233845</v>
      </c>
    </row>
    <row r="21" spans="1:43">
      <c r="A21" s="1" t="s">
        <v>62</v>
      </c>
    </row>
    <row r="22" spans="1:43">
      <c r="A22" s="1" t="s">
        <v>63</v>
      </c>
    </row>
    <row r="23" spans="1:43">
      <c r="A23" s="1" t="s">
        <v>64</v>
      </c>
    </row>
    <row r="24" spans="1:43">
      <c r="A24" s="1" t="s">
        <v>65</v>
      </c>
    </row>
    <row r="25" spans="1:43">
      <c r="A25" s="1" t="s">
        <v>66</v>
      </c>
    </row>
    <row r="26" spans="1:43">
      <c r="A26" s="1" t="s">
        <v>67</v>
      </c>
      <c r="B26" s="21">
        <f>SUM(B20:M20)</f>
        <v>12.425930132599726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2">
        <f>SUM(N20:Y20)</f>
        <v>24.52407152682256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>
        <f>SUM(Z20:AK20)</f>
        <v>35.386107290233838</v>
      </c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</row>
    <row r="28" spans="1:43" ht="18" customHeight="1">
      <c r="A28" s="7" t="s">
        <v>68</v>
      </c>
      <c r="B28" s="18" t="s">
        <v>69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43" ht="18" customHeight="1">
      <c r="B29" s="18" t="s">
        <v>70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1:43" ht="18" customHeight="1">
      <c r="B30" s="18" t="s">
        <v>71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43" ht="18" customHeight="1">
      <c r="B31" s="18" t="s">
        <v>72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43" ht="18" customHeight="1">
      <c r="B32" s="19" t="s">
        <v>73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2:30" ht="18" customHeight="1">
      <c r="B33" s="18" t="s">
        <v>122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</sheetData>
  <mergeCells count="21">
    <mergeCell ref="AF20:AH20"/>
    <mergeCell ref="AI20:AK20"/>
    <mergeCell ref="B26:M26"/>
    <mergeCell ref="N26:Y26"/>
    <mergeCell ref="Z26:AK26"/>
    <mergeCell ref="Q20:S20"/>
    <mergeCell ref="T20:V20"/>
    <mergeCell ref="W20:Y20"/>
    <mergeCell ref="Z20:AB20"/>
    <mergeCell ref="AC20:AE20"/>
    <mergeCell ref="B20:D20"/>
    <mergeCell ref="E20:G20"/>
    <mergeCell ref="H20:J20"/>
    <mergeCell ref="K20:M20"/>
    <mergeCell ref="N20:P20"/>
    <mergeCell ref="B33:AD33"/>
    <mergeCell ref="B28:AD28"/>
    <mergeCell ref="B29:AD29"/>
    <mergeCell ref="B30:AD30"/>
    <mergeCell ref="B31:AD31"/>
    <mergeCell ref="B32:AD32"/>
  </mergeCells>
  <phoneticPr fontId="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790A-CED9-4C96-A68A-DDE7128BE8AB}">
  <dimension ref="A1:A71"/>
  <sheetViews>
    <sheetView workbookViewId="0">
      <selection activeCell="L19" sqref="L19"/>
    </sheetView>
  </sheetViews>
  <sheetFormatPr defaultRowHeight="15"/>
  <sheetData>
    <row r="1" spans="1:1" ht="15.75">
      <c r="A1" s="17" t="s">
        <v>74</v>
      </c>
    </row>
    <row r="3" spans="1:1" ht="15.75">
      <c r="A3" t="s">
        <v>75</v>
      </c>
    </row>
    <row r="5" spans="1:1" ht="15.75">
      <c r="A5" t="s">
        <v>76</v>
      </c>
    </row>
    <row r="7" spans="1:1" ht="15.75">
      <c r="A7" t="s">
        <v>77</v>
      </c>
    </row>
    <row r="8" spans="1:1" ht="15.75">
      <c r="A8" t="s">
        <v>78</v>
      </c>
    </row>
    <row r="9" spans="1:1" ht="15.75">
      <c r="A9" t="s">
        <v>79</v>
      </c>
    </row>
    <row r="10" spans="1:1" ht="15.75">
      <c r="A10" t="s">
        <v>80</v>
      </c>
    </row>
    <row r="11" spans="1:1" ht="15.75">
      <c r="A11" t="s">
        <v>81</v>
      </c>
    </row>
    <row r="13" spans="1:1" ht="15.75">
      <c r="A13" t="s">
        <v>82</v>
      </c>
    </row>
    <row r="15" spans="1:1" ht="15.75">
      <c r="A15" t="s">
        <v>83</v>
      </c>
    </row>
    <row r="16" spans="1:1" ht="15.75">
      <c r="A16" t="s">
        <v>84</v>
      </c>
    </row>
    <row r="17" spans="1:1" ht="15.75">
      <c r="A17" t="s">
        <v>85</v>
      </c>
    </row>
    <row r="19" spans="1:1" ht="15.75">
      <c r="A19" t="s">
        <v>86</v>
      </c>
    </row>
    <row r="21" spans="1:1" ht="15.75">
      <c r="A21" t="s">
        <v>87</v>
      </c>
    </row>
    <row r="22" spans="1:1" ht="15.75">
      <c r="A22" t="s">
        <v>88</v>
      </c>
    </row>
    <row r="23" spans="1:1">
      <c r="A23" t="e" cm="1">
        <f t="array" ref="A23">- 【推估】成分最重的一年:三個引擎全要轉</f>
        <v>#NAME?</v>
      </c>
    </row>
    <row r="25" spans="1:1" ht="15.75">
      <c r="A25" t="s">
        <v>89</v>
      </c>
    </row>
    <row r="27" spans="1:1" ht="15.75">
      <c r="A27" t="s">
        <v>90</v>
      </c>
    </row>
    <row r="28" spans="1:1" ht="15.75">
      <c r="A28" t="s">
        <v>91</v>
      </c>
    </row>
    <row r="29" spans="1:1" ht="15.75">
      <c r="A29" t="s">
        <v>121</v>
      </c>
    </row>
    <row r="30" spans="1:1" ht="15.75">
      <c r="A30" t="s">
        <v>92</v>
      </c>
    </row>
    <row r="31" spans="1:1" ht="15.75">
      <c r="A31" t="s">
        <v>93</v>
      </c>
    </row>
    <row r="32" spans="1:1" ht="15.75">
      <c r="A32" t="s">
        <v>94</v>
      </c>
    </row>
    <row r="33" spans="1:1" ht="15.75">
      <c r="A33" t="s">
        <v>95</v>
      </c>
    </row>
    <row r="35" spans="1:1" ht="15.75">
      <c r="A35" t="s">
        <v>96</v>
      </c>
    </row>
    <row r="37" spans="1:1" ht="15.75">
      <c r="A37" t="s">
        <v>97</v>
      </c>
    </row>
    <row r="38" spans="1:1" ht="15.75">
      <c r="A38" t="s">
        <v>98</v>
      </c>
    </row>
    <row r="39" spans="1:1" ht="15.75">
      <c r="A39" t="s">
        <v>99</v>
      </c>
    </row>
    <row r="41" spans="1:1" ht="15.75">
      <c r="A41" t="s">
        <v>100</v>
      </c>
    </row>
    <row r="43" spans="1:1" ht="15.75">
      <c r="A43" t="s">
        <v>101</v>
      </c>
    </row>
    <row r="44" spans="1:1" ht="15.75">
      <c r="A44" t="s">
        <v>102</v>
      </c>
    </row>
    <row r="46" spans="1:1" ht="15.75">
      <c r="A46" t="s">
        <v>103</v>
      </c>
    </row>
    <row r="48" spans="1:1" ht="15.75">
      <c r="A48" t="s">
        <v>104</v>
      </c>
    </row>
    <row r="49" spans="1:1" ht="15.75">
      <c r="A49" t="s">
        <v>105</v>
      </c>
    </row>
    <row r="50" spans="1:1" ht="15.75">
      <c r="A50" t="s">
        <v>106</v>
      </c>
    </row>
    <row r="52" spans="1:1" ht="15.75">
      <c r="A52" t="s">
        <v>107</v>
      </c>
    </row>
    <row r="54" spans="1:1" ht="15.75">
      <c r="A54" t="s">
        <v>108</v>
      </c>
    </row>
    <row r="55" spans="1:1" ht="15.75">
      <c r="A55" t="s">
        <v>109</v>
      </c>
    </row>
    <row r="57" spans="1:1" ht="15.75">
      <c r="A57" t="s">
        <v>110</v>
      </c>
    </row>
    <row r="59" spans="1:1" ht="15.75">
      <c r="A59" t="s">
        <v>111</v>
      </c>
    </row>
    <row r="60" spans="1:1">
      <c r="A60" t="s">
        <v>112</v>
      </c>
    </row>
    <row r="61" spans="1:1" ht="15.75">
      <c r="A61" t="s">
        <v>113</v>
      </c>
    </row>
    <row r="62" spans="1:1" ht="15.75">
      <c r="A62" t="s">
        <v>114</v>
      </c>
    </row>
    <row r="63" spans="1:1" ht="15.75">
      <c r="A63" t="s">
        <v>115</v>
      </c>
    </row>
    <row r="65" spans="1:1" ht="15.75">
      <c r="A65" t="s">
        <v>116</v>
      </c>
    </row>
    <row r="67" spans="1:1" ht="15.75">
      <c r="A67" t="s">
        <v>117</v>
      </c>
    </row>
    <row r="68" spans="1:1" ht="15.75">
      <c r="A68" t="s">
        <v>118</v>
      </c>
    </row>
    <row r="69" spans="1:1" ht="15.75">
      <c r="A69" t="s">
        <v>119</v>
      </c>
    </row>
    <row r="71" spans="1:1" ht="15.75">
      <c r="A71" s="17" t="s">
        <v>120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聯茂6213</vt:lpstr>
      <vt:lpstr>模型邏輯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Wallace Hsieh</cp:lastModifiedBy>
  <cp:revision>0</cp:revision>
  <dcterms:created xsi:type="dcterms:W3CDTF">2026-07-13T15:38:16Z</dcterms:created>
  <dcterms:modified xsi:type="dcterms:W3CDTF">2026-07-17T06:43:41Z</dcterms:modified>
  <dc:language>en-US</dc:language>
</cp:coreProperties>
</file>