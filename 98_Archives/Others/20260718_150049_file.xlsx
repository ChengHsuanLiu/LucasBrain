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量價拆解_月度" sheetId="1" state="visible" r:id="rId1"/>
    <sheet xmlns:r="http://schemas.openxmlformats.org/officeDocument/2006/relationships" name="BU_vs_法人共識" sheetId="2" state="visible" r:id="rId2"/>
    <sheet xmlns:r="http://schemas.openxmlformats.org/officeDocument/2006/relationships" name="情境_增量全給M6+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2" borderId="0" pivotButton="0" quotePrefix="0" xfId="0"/>
    <xf numFmtId="3" fontId="0" fillId="3" borderId="0" pivotButton="0" quotePrefix="0" xfId="0"/>
    <xf numFmtId="3" fontId="0" fillId="0" borderId="0" pivotButton="0" quotePrefix="0" xfId="0"/>
    <xf numFmtId="2" fontId="0" fillId="2" borderId="0" pivotButton="0" quotePrefix="0" xfId="0"/>
    <xf numFmtId="2" fontId="0" fillId="3" borderId="0" pivotButton="0" quotePrefix="0" xfId="0"/>
    <xf numFmtId="2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</cols>
  <sheetData>
    <row r="1">
      <c r="A1" t="inlineStr">
        <is>
          <t>台燿6274 營收量×價拆解(bottom-up)｜單位:億元</t>
        </is>
      </c>
      <c r="B1" s="1" t="inlineStr">
        <is>
          <t>115/01</t>
        </is>
      </c>
      <c r="C1" s="1" t="inlineStr">
        <is>
          <t>115/02</t>
        </is>
      </c>
      <c r="D1" s="1" t="inlineStr">
        <is>
          <t>115/03</t>
        </is>
      </c>
      <c r="E1" s="1" t="inlineStr">
        <is>
          <t>115/04</t>
        </is>
      </c>
      <c r="F1" s="1" t="inlineStr">
        <is>
          <t>115/05</t>
        </is>
      </c>
      <c r="G1" s="1" t="inlineStr">
        <is>
          <t>115/06</t>
        </is>
      </c>
      <c r="H1" s="1" t="inlineStr">
        <is>
          <t>115/07</t>
        </is>
      </c>
      <c r="I1" s="1" t="inlineStr">
        <is>
          <t>115/08</t>
        </is>
      </c>
      <c r="J1" s="1" t="inlineStr">
        <is>
          <t>115/09</t>
        </is>
      </c>
      <c r="K1" s="1" t="inlineStr">
        <is>
          <t>115/10</t>
        </is>
      </c>
      <c r="L1" s="1" t="inlineStr">
        <is>
          <t>115/11</t>
        </is>
      </c>
      <c r="M1" s="1" t="inlineStr">
        <is>
          <t>115/12</t>
        </is>
      </c>
      <c r="N1" s="1" t="inlineStr">
        <is>
          <t>116/01</t>
        </is>
      </c>
      <c r="O1" s="1" t="inlineStr">
        <is>
          <t>116/02</t>
        </is>
      </c>
      <c r="P1" s="1" t="inlineStr">
        <is>
          <t>116/03</t>
        </is>
      </c>
      <c r="Q1" s="1" t="inlineStr">
        <is>
          <t>116/04</t>
        </is>
      </c>
      <c r="R1" s="1" t="inlineStr">
        <is>
          <t>116/05</t>
        </is>
      </c>
      <c r="S1" s="1" t="inlineStr">
        <is>
          <t>116/06</t>
        </is>
      </c>
      <c r="T1" s="1" t="inlineStr">
        <is>
          <t>116/07</t>
        </is>
      </c>
      <c r="U1" s="1" t="inlineStr">
        <is>
          <t>116/08</t>
        </is>
      </c>
      <c r="V1" s="1" t="inlineStr">
        <is>
          <t>116/09</t>
        </is>
      </c>
      <c r="W1" s="1" t="inlineStr">
        <is>
          <t>116/10</t>
        </is>
      </c>
      <c r="X1" s="1" t="inlineStr">
        <is>
          <t>116/11</t>
        </is>
      </c>
      <c r="Y1" s="1" t="inlineStr">
        <is>
          <t>116/12</t>
        </is>
      </c>
      <c r="Z1" s="1" t="inlineStr">
        <is>
          <t>117/01</t>
        </is>
      </c>
      <c r="AA1" s="1" t="inlineStr">
        <is>
          <t>117/02</t>
        </is>
      </c>
      <c r="AB1" s="1" t="inlineStr">
        <is>
          <t>117/03</t>
        </is>
      </c>
      <c r="AC1" s="1" t="inlineStr">
        <is>
          <t>117/04</t>
        </is>
      </c>
      <c r="AD1" s="1" t="inlineStr">
        <is>
          <t>117/05</t>
        </is>
      </c>
      <c r="AE1" s="1" t="inlineStr">
        <is>
          <t>117/06</t>
        </is>
      </c>
      <c r="AF1" s="1" t="inlineStr">
        <is>
          <t>117/07</t>
        </is>
      </c>
      <c r="AG1" s="1" t="inlineStr">
        <is>
          <t>117/08</t>
        </is>
      </c>
      <c r="AH1" s="1" t="inlineStr">
        <is>
          <t>117/09</t>
        </is>
      </c>
      <c r="AI1" s="1" t="inlineStr">
        <is>
          <t>117/10</t>
        </is>
      </c>
      <c r="AJ1" s="1" t="inlineStr">
        <is>
          <t>117/11</t>
        </is>
      </c>
      <c r="AK1" s="1" t="inlineStr">
        <is>
          <t>117/12</t>
        </is>
      </c>
      <c r="AL1" s="1" t="inlineStr">
        <is>
          <t>2026全年</t>
        </is>
      </c>
      <c r="AM1" s="1" t="inlineStr">
        <is>
          <t>2027全年</t>
        </is>
      </c>
      <c r="AN1" s="1" t="inlineStr">
        <is>
          <t>2028全年</t>
        </is>
      </c>
    </row>
    <row r="2">
      <c r="A2" t="inlineStr">
        <is>
          <t>月產能(萬張)</t>
        </is>
      </c>
      <c r="B2" s="11" t="n">
        <v>235</v>
      </c>
      <c r="C2" s="11" t="n">
        <v>235</v>
      </c>
      <c r="D2" s="11" t="n">
        <v>235</v>
      </c>
      <c r="E2" s="11" t="n">
        <v>240</v>
      </c>
      <c r="F2" s="11" t="n">
        <v>250</v>
      </c>
      <c r="G2" s="11" t="n">
        <v>258</v>
      </c>
      <c r="H2" s="11" t="n">
        <v>265</v>
      </c>
      <c r="I2" s="11" t="n">
        <v>278</v>
      </c>
      <c r="J2" s="11" t="n">
        <v>290</v>
      </c>
      <c r="K2" s="11" t="n">
        <v>290</v>
      </c>
      <c r="L2" s="11" t="n">
        <v>293</v>
      </c>
      <c r="M2" s="11" t="n">
        <v>295</v>
      </c>
      <c r="N2" s="11" t="n">
        <v>300</v>
      </c>
      <c r="O2" s="11" t="n">
        <v>308</v>
      </c>
      <c r="P2" s="11" t="n">
        <v>316</v>
      </c>
      <c r="Q2" s="11" t="n">
        <v>324</v>
      </c>
      <c r="R2" s="11" t="n">
        <v>332</v>
      </c>
      <c r="S2" s="11" t="n">
        <v>340</v>
      </c>
      <c r="T2" s="11" t="n">
        <v>348</v>
      </c>
      <c r="U2" s="11" t="n">
        <v>356</v>
      </c>
      <c r="V2" s="11" t="n">
        <v>364</v>
      </c>
      <c r="W2" s="11" t="n">
        <v>372</v>
      </c>
      <c r="X2" s="11" t="n">
        <v>376</v>
      </c>
      <c r="Y2" s="11" t="n">
        <v>380</v>
      </c>
      <c r="Z2" s="11" t="n">
        <v>385</v>
      </c>
      <c r="AA2" s="11" t="n">
        <v>390</v>
      </c>
      <c r="AB2" s="11" t="n">
        <v>395</v>
      </c>
      <c r="AC2" s="11" t="n">
        <v>400</v>
      </c>
      <c r="AD2" s="11" t="n">
        <v>405</v>
      </c>
      <c r="AE2" s="11" t="n">
        <v>410</v>
      </c>
      <c r="AF2" s="11" t="n">
        <v>415</v>
      </c>
      <c r="AG2" s="11" t="n">
        <v>418</v>
      </c>
      <c r="AH2" s="11" t="n">
        <v>420</v>
      </c>
      <c r="AI2" s="11" t="n">
        <v>424</v>
      </c>
      <c r="AJ2" s="11" t="n">
        <v>427</v>
      </c>
      <c r="AK2" s="11" t="n">
        <v>430</v>
      </c>
      <c r="AL2" s="11" t="n"/>
      <c r="AM2" s="11" t="n"/>
      <c r="AN2" s="11" t="n"/>
    </row>
    <row r="3">
      <c r="A3" t="inlineStr">
        <is>
          <t>稼動率</t>
        </is>
      </c>
      <c r="B3" s="12" t="n">
        <v>0.93</v>
      </c>
      <c r="C3" s="12" t="n">
        <v>0.93</v>
      </c>
      <c r="D3" s="12" t="n">
        <v>0.93</v>
      </c>
      <c r="E3" s="12" t="n">
        <v>0.93</v>
      </c>
      <c r="F3" s="12" t="n">
        <v>0.93</v>
      </c>
      <c r="G3" s="12" t="n">
        <v>0.93</v>
      </c>
      <c r="H3" s="12" t="n">
        <v>0.93</v>
      </c>
      <c r="I3" s="12" t="n">
        <v>0.93</v>
      </c>
      <c r="J3" s="12" t="n">
        <v>0.93</v>
      </c>
      <c r="K3" s="12" t="n">
        <v>0.93</v>
      </c>
      <c r="L3" s="12" t="n">
        <v>0.93</v>
      </c>
      <c r="M3" s="12" t="n">
        <v>0.93</v>
      </c>
      <c r="N3" s="12" t="n">
        <v>0.93</v>
      </c>
      <c r="O3" s="12" t="n">
        <v>0.93</v>
      </c>
      <c r="P3" s="12" t="n">
        <v>0.93</v>
      </c>
      <c r="Q3" s="12" t="n">
        <v>0.93</v>
      </c>
      <c r="R3" s="12" t="n">
        <v>0.93</v>
      </c>
      <c r="S3" s="12" t="n">
        <v>0.93</v>
      </c>
      <c r="T3" s="12" t="n">
        <v>0.93</v>
      </c>
      <c r="U3" s="12" t="n">
        <v>0.93</v>
      </c>
      <c r="V3" s="12" t="n">
        <v>0.93</v>
      </c>
      <c r="W3" s="12" t="n">
        <v>0.93</v>
      </c>
      <c r="X3" s="12" t="n">
        <v>0.93</v>
      </c>
      <c r="Y3" s="12" t="n">
        <v>0.93</v>
      </c>
      <c r="Z3" s="12" t="n">
        <v>0.93</v>
      </c>
      <c r="AA3" s="12" t="n">
        <v>0.93</v>
      </c>
      <c r="AB3" s="12" t="n">
        <v>0.93</v>
      </c>
      <c r="AC3" s="12" t="n">
        <v>0.93</v>
      </c>
      <c r="AD3" s="12" t="n">
        <v>0.93</v>
      </c>
      <c r="AE3" s="12" t="n">
        <v>0.93</v>
      </c>
      <c r="AF3" s="12" t="n">
        <v>0.93</v>
      </c>
      <c r="AG3" s="12" t="n">
        <v>0.93</v>
      </c>
      <c r="AH3" s="12" t="n">
        <v>0.93</v>
      </c>
      <c r="AI3" s="12" t="n">
        <v>0.93</v>
      </c>
      <c r="AJ3" s="12" t="n">
        <v>0.93</v>
      </c>
      <c r="AK3" s="12" t="n">
        <v>0.93</v>
      </c>
      <c r="AL3" s="12" t="n"/>
      <c r="AM3" s="12" t="n"/>
      <c r="AN3" s="12" t="n"/>
    </row>
    <row r="4">
      <c r="A4" t="inlineStr">
        <is>
          <t>月產出(萬張)</t>
        </is>
      </c>
      <c r="B4" s="11">
        <f>B2*B3</f>
        <v/>
      </c>
      <c r="C4" s="11">
        <f>C2*C3</f>
        <v/>
      </c>
      <c r="D4" s="11">
        <f>D2*D3</f>
        <v/>
      </c>
      <c r="E4" s="11">
        <f>E2*E3</f>
        <v/>
      </c>
      <c r="F4" s="11">
        <f>F2*F3</f>
        <v/>
      </c>
      <c r="G4" s="11">
        <f>G2*G3</f>
        <v/>
      </c>
      <c r="H4" s="11">
        <f>H2*H3</f>
        <v/>
      </c>
      <c r="I4" s="11">
        <f>I2*I3</f>
        <v/>
      </c>
      <c r="J4" s="11">
        <f>J2*J3</f>
        <v/>
      </c>
      <c r="K4" s="11">
        <f>K2*K3</f>
        <v/>
      </c>
      <c r="L4" s="11">
        <f>L2*L3</f>
        <v/>
      </c>
      <c r="M4" s="11">
        <f>M2*M3</f>
        <v/>
      </c>
      <c r="N4" s="11">
        <f>N2*N3</f>
        <v/>
      </c>
      <c r="O4" s="11">
        <f>O2*O3</f>
        <v/>
      </c>
      <c r="P4" s="11">
        <f>P2*P3</f>
        <v/>
      </c>
      <c r="Q4" s="11">
        <f>Q2*Q3</f>
        <v/>
      </c>
      <c r="R4" s="11">
        <f>R2*R3</f>
        <v/>
      </c>
      <c r="S4" s="11">
        <f>S2*S3</f>
        <v/>
      </c>
      <c r="T4" s="11">
        <f>T2*T3</f>
        <v/>
      </c>
      <c r="U4" s="11">
        <f>U2*U3</f>
        <v/>
      </c>
      <c r="V4" s="11">
        <f>V2*V3</f>
        <v/>
      </c>
      <c r="W4" s="11">
        <f>W2*W3</f>
        <v/>
      </c>
      <c r="X4" s="11">
        <f>X2*X3</f>
        <v/>
      </c>
      <c r="Y4" s="11">
        <f>Y2*Y3</f>
        <v/>
      </c>
      <c r="Z4" s="11">
        <f>Z2*Z3</f>
        <v/>
      </c>
      <c r="AA4" s="11">
        <f>AA2*AA3</f>
        <v/>
      </c>
      <c r="AB4" s="11">
        <f>AB2*AB3</f>
        <v/>
      </c>
      <c r="AC4" s="11">
        <f>AC2*AC3</f>
        <v/>
      </c>
      <c r="AD4" s="11">
        <f>AD2*AD3</f>
        <v/>
      </c>
      <c r="AE4" s="11">
        <f>AE2*AE3</f>
        <v/>
      </c>
      <c r="AF4" s="11">
        <f>AF2*AF3</f>
        <v/>
      </c>
      <c r="AG4" s="11">
        <f>AG2*AG3</f>
        <v/>
      </c>
      <c r="AH4" s="11">
        <f>AH2*AH3</f>
        <v/>
      </c>
      <c r="AI4" s="11">
        <f>AI2*AI3</f>
        <v/>
      </c>
      <c r="AJ4" s="11">
        <f>AJ2*AJ3</f>
        <v/>
      </c>
      <c r="AK4" s="11">
        <f>AK2*AK3</f>
        <v/>
      </c>
      <c r="AL4" s="11">
        <f>SUM(B4:M4)</f>
        <v/>
      </c>
      <c r="AM4" s="11">
        <f>SUM(N4:Y4)</f>
        <v/>
      </c>
      <c r="AN4" s="11">
        <f>SUM(Z4:AK4)</f>
        <v/>
      </c>
    </row>
    <row r="5">
      <c r="A5" t="inlineStr">
        <is>
          <t>blended ASP(TWD/張)</t>
        </is>
      </c>
      <c r="B5" s="4">
        <f>B6*10000/B4</f>
        <v/>
      </c>
      <c r="C5" s="4">
        <f>C6*10000/C4</f>
        <v/>
      </c>
      <c r="D5" s="4">
        <f>D6*10000/D4</f>
        <v/>
      </c>
      <c r="E5" s="4">
        <f>E6*10000/E4</f>
        <v/>
      </c>
      <c r="F5" s="4">
        <f>F6*10000/F4</f>
        <v/>
      </c>
      <c r="G5" s="4">
        <f>G6*10000/G4</f>
        <v/>
      </c>
      <c r="H5" s="5" t="n">
        <v>2100</v>
      </c>
      <c r="I5" s="5" t="n">
        <v>2130</v>
      </c>
      <c r="J5" s="5" t="n">
        <v>2160</v>
      </c>
      <c r="K5" s="5" t="n">
        <v>2180</v>
      </c>
      <c r="L5" s="5" t="n">
        <v>2200</v>
      </c>
      <c r="M5" s="5" t="n">
        <v>2210</v>
      </c>
      <c r="N5" s="5" t="n">
        <v>2300</v>
      </c>
      <c r="O5" s="5" t="n">
        <v>2340</v>
      </c>
      <c r="P5" s="5" t="n">
        <v>2380</v>
      </c>
      <c r="Q5" s="5" t="n">
        <v>2420</v>
      </c>
      <c r="R5" s="5" t="n">
        <v>2460</v>
      </c>
      <c r="S5" s="5" t="n">
        <v>2500</v>
      </c>
      <c r="T5" s="5" t="n">
        <v>2540</v>
      </c>
      <c r="U5" s="5" t="n">
        <v>2580</v>
      </c>
      <c r="V5" s="5" t="n">
        <v>2610</v>
      </c>
      <c r="W5" s="5" t="n">
        <v>2640</v>
      </c>
      <c r="X5" s="5" t="n">
        <v>2660</v>
      </c>
      <c r="Y5" s="5" t="n">
        <v>2680</v>
      </c>
      <c r="Z5" s="5" t="n">
        <v>2800</v>
      </c>
      <c r="AA5" s="5" t="n">
        <v>2840</v>
      </c>
      <c r="AB5" s="5" t="n">
        <v>2880</v>
      </c>
      <c r="AC5" s="5" t="n">
        <v>2900</v>
      </c>
      <c r="AD5" s="5" t="n">
        <v>2940</v>
      </c>
      <c r="AE5" s="5" t="n">
        <v>2970</v>
      </c>
      <c r="AF5" s="5" t="n">
        <v>3000</v>
      </c>
      <c r="AG5" s="5" t="n">
        <v>3030</v>
      </c>
      <c r="AH5" s="5" t="n">
        <v>3060</v>
      </c>
      <c r="AI5" s="5" t="n">
        <v>3090</v>
      </c>
      <c r="AJ5" s="5" t="n">
        <v>3110</v>
      </c>
      <c r="AK5" s="5" t="n">
        <v>3130</v>
      </c>
      <c r="AL5" s="6">
        <f>AL6*10000/AL4</f>
        <v/>
      </c>
      <c r="AM5" s="6">
        <f>AM6*10000/AM4</f>
        <v/>
      </c>
      <c r="AN5" s="6">
        <f>AN6*10000/AN4</f>
        <v/>
      </c>
    </row>
    <row r="6">
      <c r="A6" t="inlineStr">
        <is>
          <t>月營收(億元)</t>
        </is>
      </c>
      <c r="B6" s="7" t="n">
        <v>33.5</v>
      </c>
      <c r="C6" s="7" t="n">
        <v>29.24</v>
      </c>
      <c r="D6" s="7" t="n">
        <v>37.8</v>
      </c>
      <c r="E6" s="7" t="n">
        <v>46.1</v>
      </c>
      <c r="F6" s="7" t="n">
        <v>47.94</v>
      </c>
      <c r="G6" s="7" t="n">
        <v>48.95</v>
      </c>
      <c r="H6" s="8">
        <f>H4*H5/10000</f>
        <v/>
      </c>
      <c r="I6" s="8">
        <f>I4*I5/10000</f>
        <v/>
      </c>
      <c r="J6" s="8">
        <f>J4*J5/10000</f>
        <v/>
      </c>
      <c r="K6" s="8">
        <f>K4*K5/10000</f>
        <v/>
      </c>
      <c r="L6" s="8">
        <f>L4*L5/10000</f>
        <v/>
      </c>
      <c r="M6" s="8">
        <f>M4*M5/10000</f>
        <v/>
      </c>
      <c r="N6" s="8">
        <f>N4*N5/10000</f>
        <v/>
      </c>
      <c r="O6" s="8">
        <f>O4*O5/10000</f>
        <v/>
      </c>
      <c r="P6" s="8">
        <f>P4*P5/10000</f>
        <v/>
      </c>
      <c r="Q6" s="8">
        <f>Q4*Q5/10000</f>
        <v/>
      </c>
      <c r="R6" s="8">
        <f>R4*R5/10000</f>
        <v/>
      </c>
      <c r="S6" s="8">
        <f>S4*S5/10000</f>
        <v/>
      </c>
      <c r="T6" s="8">
        <f>T4*T5/10000</f>
        <v/>
      </c>
      <c r="U6" s="8">
        <f>U4*U5/10000</f>
        <v/>
      </c>
      <c r="V6" s="8">
        <f>V4*V5/10000</f>
        <v/>
      </c>
      <c r="W6" s="8">
        <f>W4*W5/10000</f>
        <v/>
      </c>
      <c r="X6" s="8">
        <f>X4*X5/10000</f>
        <v/>
      </c>
      <c r="Y6" s="8">
        <f>Y4*Y5/10000</f>
        <v/>
      </c>
      <c r="Z6" s="8">
        <f>Z4*Z5/10000</f>
        <v/>
      </c>
      <c r="AA6" s="8">
        <f>AA4*AA5/10000</f>
        <v/>
      </c>
      <c r="AB6" s="8">
        <f>AB4*AB5/10000</f>
        <v/>
      </c>
      <c r="AC6" s="8">
        <f>AC4*AC5/10000</f>
        <v/>
      </c>
      <c r="AD6" s="8">
        <f>AD4*AD5/10000</f>
        <v/>
      </c>
      <c r="AE6" s="8">
        <f>AE4*AE5/10000</f>
        <v/>
      </c>
      <c r="AF6" s="8">
        <f>AF4*AF5/10000</f>
        <v/>
      </c>
      <c r="AG6" s="8">
        <f>AG4*AG5/10000</f>
        <v/>
      </c>
      <c r="AH6" s="8">
        <f>AH4*AH5/10000</f>
        <v/>
      </c>
      <c r="AI6" s="8">
        <f>AI4*AI5/10000</f>
        <v/>
      </c>
      <c r="AJ6" s="8">
        <f>AJ4*AJ5/10000</f>
        <v/>
      </c>
      <c r="AK6" s="8">
        <f>AK4*AK5/10000</f>
        <v/>
      </c>
      <c r="AL6" s="9">
        <f>SUM(B6:M6)</f>
        <v/>
      </c>
      <c r="AM6" s="9">
        <f>SUM(N6:Y6)</f>
        <v/>
      </c>
      <c r="AN6" s="9">
        <f>SUM(Z6:AK6)</f>
        <v/>
      </c>
    </row>
    <row r="7">
      <c r="A7" t="inlineStr">
        <is>
          <t>高階M7+佔比</t>
        </is>
      </c>
      <c r="AL7" t="inlineStr">
        <is>
          <t>38%→50%</t>
        </is>
      </c>
      <c r="AM7" t="inlineStr">
        <is>
          <t>50%→60%</t>
        </is>
      </c>
      <c r="AN7" t="inlineStr">
        <is>
          <t>60%→68%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30" customWidth="1" min="5" max="5"/>
  </cols>
  <sheetData>
    <row r="1">
      <c r="A1" s="10" t="inlineStr">
        <is>
          <t>台燿6274｜bottom-up量價模型 vs 法人共識</t>
        </is>
      </c>
    </row>
    <row r="3">
      <c r="A3" s="1" t="inlineStr">
        <is>
          <t>項目</t>
        </is>
      </c>
      <c r="B3" s="1" t="inlineStr">
        <is>
          <t>2026</t>
        </is>
      </c>
      <c r="C3" s="1" t="inlineStr">
        <is>
          <t>2027</t>
        </is>
      </c>
      <c r="D3" s="1" t="inlineStr">
        <is>
          <t>2028</t>
        </is>
      </c>
      <c r="E3" s="1" t="inlineStr">
        <is>
          <t>說明</t>
        </is>
      </c>
    </row>
    <row r="4">
      <c r="A4" t="inlineStr">
        <is>
          <t>① 營收 bottom-up(億)</t>
        </is>
      </c>
      <c r="B4" s="9">
        <f>量價拆解_月度!AL6</f>
        <v/>
      </c>
      <c r="C4" s="9">
        <f>量價拆解_月度!AM6</f>
        <v/>
      </c>
      <c r="D4" s="9">
        <f>量價拆解_月度!AN6</f>
        <v/>
      </c>
      <c r="E4" t="inlineStr">
        <is>
          <t>產能×稼動×ASP,H1實際校準</t>
        </is>
      </c>
    </row>
    <row r="5">
      <c r="A5" t="inlineStr">
        <is>
          <t xml:space="preserve">   法人共識營收(億)</t>
        </is>
      </c>
      <c r="B5" s="9" t="n">
        <v>599.35</v>
      </c>
      <c r="C5" s="9" t="n">
        <v>1048.29</v>
      </c>
      <c r="D5" s="9" t="n">
        <v>1611.84</v>
      </c>
      <c r="E5" t="inlineStr">
        <is>
          <t>優分析,對照非輸入</t>
        </is>
      </c>
    </row>
    <row r="6">
      <c r="A6" t="inlineStr">
        <is>
          <t xml:space="preserve">   營收差異%</t>
        </is>
      </c>
      <c r="B6" s="12">
        <f>B4/B5-1</f>
        <v/>
      </c>
      <c r="C6" s="12">
        <f>C4/C5-1</f>
        <v/>
      </c>
      <c r="D6" s="12">
        <f>D4/D5-1</f>
        <v/>
      </c>
      <c r="E6" t="inlineStr">
        <is>
          <t>BU相對共識</t>
        </is>
      </c>
    </row>
    <row r="7">
      <c r="A7" t="inlineStr">
        <is>
          <t>② BU年產出(萬張)</t>
        </is>
      </c>
      <c r="B7" s="6">
        <f>量價拆解_月度!AL4</f>
        <v/>
      </c>
      <c r="C7" s="6">
        <f>量價拆解_月度!AM4</f>
        <v/>
      </c>
      <c r="D7" s="6">
        <f>量價拆解_月度!AN4</f>
        <v/>
      </c>
      <c r="E7" t="inlineStr">
        <is>
          <t>產能×稼動</t>
        </is>
      </c>
    </row>
    <row r="8">
      <c r="A8" t="inlineStr">
        <is>
          <t xml:space="preserve">   BU平均ASP(TWD/張)</t>
        </is>
      </c>
      <c r="B8" s="6">
        <f>B4*10000/B7</f>
        <v/>
      </c>
      <c r="C8" s="6">
        <f>C4*10000/C7</f>
        <v/>
      </c>
      <c r="D8" s="6">
        <f>D4*10000/D7</f>
        <v/>
      </c>
      <c r="E8" t="inlineStr">
        <is>
          <t>漲價+mix可支撐</t>
        </is>
      </c>
    </row>
    <row r="9">
      <c r="A9" t="inlineStr">
        <is>
          <t xml:space="preserve">   共識隱含ASP(TWD/張)</t>
        </is>
      </c>
      <c r="B9" s="6">
        <f>B5*10000/B7</f>
        <v/>
      </c>
      <c r="C9" s="6">
        <f>C5*10000/C7</f>
        <v/>
      </c>
      <c r="D9" s="6">
        <f>D5*10000/D7</f>
        <v/>
      </c>
      <c r="E9" t="inlineStr">
        <is>
          <t>同產能下共識需要的ASP</t>
        </is>
      </c>
    </row>
    <row r="10">
      <c r="A10" t="inlineStr">
        <is>
          <t xml:space="preserve">   ASP缺口%(共識/BU-1)</t>
        </is>
      </c>
      <c r="B10" s="12">
        <f>B9/B8-1</f>
        <v/>
      </c>
      <c r="C10" s="12">
        <f>C9/C8-1</f>
        <v/>
      </c>
      <c r="D10" s="12">
        <f>D9/D8-1</f>
        <v/>
      </c>
      <c r="E10" t="inlineStr">
        <is>
          <t>共識隱含的額外漲價/mix</t>
        </is>
      </c>
    </row>
    <row r="11">
      <c r="A11" t="inlineStr">
        <is>
          <t>③ EPS bottom-up(元)</t>
        </is>
      </c>
      <c r="B11" s="9" t="n">
        <v>31.74</v>
      </c>
      <c r="C11" s="9" t="n">
        <v>61.19</v>
      </c>
      <c r="D11" s="9" t="n">
        <v>98.03</v>
      </c>
      <c r="E11" t="inlineStr">
        <is>
          <t>BU營收過同一損益表</t>
        </is>
      </c>
    </row>
    <row r="12">
      <c r="A12" t="inlineStr">
        <is>
          <t xml:space="preserve">   法人共識EPS(元)</t>
        </is>
      </c>
      <c r="B12" s="9" t="n">
        <v>35.27</v>
      </c>
      <c r="C12" s="9" t="n">
        <v>76.40000000000001</v>
      </c>
      <c r="D12" s="9" t="n">
        <v>128.95</v>
      </c>
      <c r="E12" t="inlineStr">
        <is>
          <t>優分析</t>
        </is>
      </c>
    </row>
    <row r="13">
      <c r="A13" t="inlineStr">
        <is>
          <t xml:space="preserve">   EPS差異%</t>
        </is>
      </c>
      <c r="B13" s="12">
        <f>B11/B12-1</f>
        <v/>
      </c>
      <c r="C13" s="12">
        <f>C11/C12-1</f>
        <v/>
      </c>
      <c r="D13" s="12">
        <f>D11/D12-1</f>
        <v/>
      </c>
      <c r="E13" t="inlineStr">
        <is>
          <t>BU相對共識</t>
        </is>
      </c>
    </row>
    <row r="16">
      <c r="A16" t="inlineStr">
        <is>
          <t>結論:紀律型量×價 bottom-up(量封頂於公司產能口徑380萬張、稼動93%、ASP由漲價+M8/M9 mix支撐)之營收與EPS,系統性低於法人共識,且缺口逐年擴大。</t>
        </is>
      </c>
    </row>
    <row r="17">
      <c r="A17" t="inlineStr">
        <is>
          <t>2026差距小(-2%營收/-10%EPS,多被H1實際與近月鎖定);2027-2028營收缺口擴大至-8%/-15%,EPS缺口-20%/-24%。</t>
        </is>
      </c>
    </row>
    <row r="18">
      <c r="A18" t="inlineStr">
        <is>
          <t>意涵:法人共識2028營收要成立,需blended ASP約3,523 TWD/張(vs BU可支撐2,983,+18%),等同假設M9/M10高階佔比或漲價幅度顯著超越目前mix遷移路徑,或產能/稼動高於公司現有指引(380萬張/滿載)。</t>
        </is>
      </c>
    </row>
    <row r="19">
      <c r="A19" t="inlineStr">
        <is>
          <t>最可證偽的追蹤點:①季度隱含ASP(=季營收/季產出)是否沿BU路徑或衝向共識路徑 ②M9認證量產時點與佔比 ③2028是否有380萬張以外的新擴產宣布 ④稼動率是否守住90%+。</t>
        </is>
      </c>
    </row>
    <row r="20">
      <c r="A20" t="inlineStr">
        <is>
          <t>假設來源:產能=公司法說口徑(230→290→380萬張);稼動93%=滿載/供不應求推估;H1 ASP=月營收公告回推(真實數據1533→2050);H2+ ASP=漲價全季化+mix推估,mix升幅以海關M4→M8 +54%(CCL)/+75-196%(PP)定調。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0" t="inlineStr">
        <is>
          <t>台燿6274｜情境:新增產能全部以M6+單價出貨（不對稱缺料/增量全高階）</t>
        </is>
      </c>
    </row>
    <row r="2">
      <c r="A2" t="inlineStr">
        <is>
          <t>邏輯:基礎產能235萬張維持現有blended ASP(漲價路徑)，泰國/常熟新增產能(cap-235)全部以M6+單價(base×溢價倍數)出貨。溢價倍數1.6~2.0(小助理:M7+ ASP約M6以下2倍+)。</t>
        </is>
      </c>
    </row>
    <row r="4">
      <c r="A4" s="1" t="inlineStr"/>
      <c r="B4" s="1" t="inlineStr"/>
      <c r="C4" s="1" t="inlineStr">
        <is>
          <t>營收(億元)</t>
        </is>
      </c>
      <c r="D4" s="1" t="inlineStr"/>
      <c r="E4" s="1" t="inlineStr"/>
      <c r="F4" s="1" t="inlineStr">
        <is>
          <t>EPS(元)</t>
        </is>
      </c>
      <c r="G4" s="1" t="inlineStr"/>
      <c r="H4" s="1" t="inlineStr"/>
    </row>
    <row r="5">
      <c r="A5" s="1" t="inlineStr">
        <is>
          <t>情境</t>
        </is>
      </c>
      <c r="B5" s="1" t="inlineStr">
        <is>
          <t>溢價倍數</t>
        </is>
      </c>
      <c r="C5" s="1" t="inlineStr">
        <is>
          <t>2026</t>
        </is>
      </c>
      <c r="D5" s="1" t="inlineStr">
        <is>
          <t>2027</t>
        </is>
      </c>
      <c r="E5" s="1" t="inlineStr">
        <is>
          <t>2028</t>
        </is>
      </c>
      <c r="F5" s="1" t="inlineStr">
        <is>
          <t>2026</t>
        </is>
      </c>
      <c r="G5" s="1" t="inlineStr">
        <is>
          <t>2027</t>
        </is>
      </c>
      <c r="H5" s="1" t="inlineStr">
        <is>
          <t>2028</t>
        </is>
      </c>
    </row>
    <row r="6">
      <c r="A6" t="inlineStr">
        <is>
          <t>BU基準(mix平滑)</t>
        </is>
      </c>
      <c r="B6" t="inlineStr">
        <is>
          <t>—</t>
        </is>
      </c>
      <c r="C6" s="13" t="n">
        <v>588</v>
      </c>
      <c r="D6" s="13" t="n">
        <v>964</v>
      </c>
      <c r="E6" s="13" t="n">
        <v>1365</v>
      </c>
      <c r="F6" s="9" t="n">
        <v>31.74</v>
      </c>
      <c r="G6" s="9" t="n">
        <v>61.19</v>
      </c>
      <c r="H6" s="9" t="n">
        <v>98.03</v>
      </c>
    </row>
    <row r="7">
      <c r="A7" t="inlineStr">
        <is>
          <t>增量全M6+ (下緣)</t>
        </is>
      </c>
      <c r="B7" t="inlineStr">
        <is>
          <t>1.6×</t>
        </is>
      </c>
      <c r="C7" s="13" t="n">
        <v>609</v>
      </c>
      <c r="D7" s="13" t="n">
        <v>992</v>
      </c>
      <c r="E7" s="13" t="n">
        <v>1310</v>
      </c>
      <c r="F7" s="9" t="n">
        <v>32.98</v>
      </c>
      <c r="G7" s="9" t="n">
        <v>62.92</v>
      </c>
      <c r="H7" s="9" t="n">
        <v>94.03</v>
      </c>
    </row>
    <row r="8">
      <c r="A8" t="inlineStr">
        <is>
          <t>增量全M6+ (中性)</t>
        </is>
      </c>
      <c r="B8" t="inlineStr">
        <is>
          <t>1.8×</t>
        </is>
      </c>
      <c r="C8" s="13" t="n">
        <v>621</v>
      </c>
      <c r="D8" s="13" t="n">
        <v>1045</v>
      </c>
      <c r="E8" s="13" t="n">
        <v>1399</v>
      </c>
      <c r="F8" s="9" t="n">
        <v>33.66</v>
      </c>
      <c r="G8" s="9" t="n">
        <v>66.26000000000001</v>
      </c>
      <c r="H8" s="9" t="n">
        <v>100.46</v>
      </c>
    </row>
    <row r="9">
      <c r="A9" t="inlineStr">
        <is>
          <t>增量全M6+ (上緣)</t>
        </is>
      </c>
      <c r="B9" t="inlineStr">
        <is>
          <t>2.0×</t>
        </is>
      </c>
      <c r="C9" s="13" t="n">
        <v>633</v>
      </c>
      <c r="D9" s="13" t="n">
        <v>1097</v>
      </c>
      <c r="E9" s="13" t="n">
        <v>1488</v>
      </c>
      <c r="F9" s="9" t="n">
        <v>34.35</v>
      </c>
      <c r="G9" s="9" t="n">
        <v>69.59999999999999</v>
      </c>
      <c r="H9" s="9" t="n">
        <v>106.88</v>
      </c>
    </row>
    <row r="10">
      <c r="A10" t="inlineStr">
        <is>
          <t>法人共識</t>
        </is>
      </c>
      <c r="B10" t="inlineStr">
        <is>
          <t>—</t>
        </is>
      </c>
      <c r="C10" s="13" t="n">
        <v>599.35</v>
      </c>
      <c r="D10" s="13" t="n">
        <v>1048.29</v>
      </c>
      <c r="E10" s="13" t="n">
        <v>1611.84</v>
      </c>
      <c r="F10" s="9" t="n">
        <v>35.27</v>
      </c>
      <c r="G10" s="9" t="n">
        <v>76.40000000000001</v>
      </c>
      <c r="H10" s="9" t="n">
        <v>128.95</v>
      </c>
    </row>
    <row r="12"/>
    <row r="13">
      <c r="A13" t="inlineStr">
        <is>
          <t>關鍵解讀:</t>
        </is>
      </c>
    </row>
    <row r="14">
      <c r="A14" t="inlineStr">
        <is>
          <t>① 營收面:增量全給M6+(中性1.8×)後,2026營收+3.6%、2027營收-0.3%已幾乎貼齊共識——代表法人共識2026-2027營收，本質上就是「新產能全配高階」這條劇本，並非離譜。</t>
        </is>
      </c>
    </row>
    <row r="15">
      <c r="A15" t="inlineStr">
        <is>
          <t>② 但2028營收即使增量全2.0×仍-7.7%~-13%(1488 vs 1612):共識2028需要①產能突破380萬張(2028我推估430已算擴張)②或M9/M10 ASP再上一階。此為共識最激進、最需要新催化劑的一年。</t>
        </is>
      </c>
    </row>
    <row r="16">
      <c r="A16" t="inlineStr">
        <is>
          <t>③ EPS面:即使增量全2.0×、2027營收已超過共識(1097&gt;1048),EPS(69.6)仍低於共識(76.4)——差距來自稅率。本模型用台燿實際有效稅率28-30%,共識隱含約20%。</t>
        </is>
      </c>
    </row>
    <row r="17">
      <c r="A17" t="inlineStr">
        <is>
          <t>④ 完整拆解:要對到共識EPS 76.4(2027)＝「增量全高階(約2×)」＋「有效稅率降到約20%(泰國BOI)」兩件事同時成立。缺一則EPS落在62~70。</t>
        </is>
      </c>
    </row>
    <row r="18">
      <c r="A18" t="inlineStr">
        <is>
          <t>⑤ 最早可證偽的追蹤點:季度隱含ASP(季營收/季產出)往哪條線走、M9認證量產佔比、2028是否有380萬張以外新擴產、季報回推之有效稅率是否下降。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2026-07-18T02:46:57Z</dcterms:created>
  <dcterms:modified xmlns:dcterms="http://purl.org/dc/terms/" xmlns:xsi="http://www.w3.org/2001/XMLSchema-instance" xsi:type="dcterms:W3CDTF">2026-07-18T06:16:42Z</dcterms:modified>
</cp:coreProperties>
</file>