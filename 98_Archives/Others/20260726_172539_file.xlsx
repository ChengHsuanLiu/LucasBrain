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8696\Desktop\"/>
    </mc:Choice>
  </mc:AlternateContent>
  <xr:revisionPtr revIDLastSave="0" documentId="8_{B5F6D1B0-9217-443A-B3F7-4CDBA0FDE189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對照總表" sheetId="1" r:id="rId1"/>
    <sheet name="產品組合假設_M6toM9" sheetId="2" r:id="rId2"/>
    <sheet name="聯茂6213_月度模型" sheetId="3" r:id="rId3"/>
    <sheet name="台燿6274_月度模型" sheetId="4" r:id="rId4"/>
    <sheet name="漲價路徑敏感度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12" i="4" l="1"/>
  <c r="X11" i="4"/>
  <c r="L11" i="4"/>
  <c r="AN9" i="4"/>
  <c r="AM9" i="4"/>
  <c r="AL9" i="4"/>
  <c r="AI8" i="4"/>
  <c r="AG8" i="4"/>
  <c r="W8" i="4"/>
  <c r="K8" i="4"/>
  <c r="I8" i="4"/>
  <c r="AJ7" i="4"/>
  <c r="AJ8" i="4" s="1"/>
  <c r="AD7" i="4"/>
  <c r="AD8" i="4" s="1"/>
  <c r="AC7" i="4"/>
  <c r="AC8" i="4" s="1"/>
  <c r="Z7" i="4"/>
  <c r="Z11" i="4" s="1"/>
  <c r="Z12" i="4" s="1"/>
  <c r="X7" i="4"/>
  <c r="X8" i="4" s="1"/>
  <c r="R7" i="4"/>
  <c r="R8" i="4" s="1"/>
  <c r="L7" i="4"/>
  <c r="L8" i="4" s="1"/>
  <c r="F7" i="4"/>
  <c r="F8" i="4" s="1"/>
  <c r="E7" i="4"/>
  <c r="E8" i="4" s="1"/>
  <c r="AM6" i="4"/>
  <c r="AM5" i="4" s="1"/>
  <c r="AK6" i="4"/>
  <c r="AJ6" i="4"/>
  <c r="AI6" i="4"/>
  <c r="AH6" i="4"/>
  <c r="AG6" i="4"/>
  <c r="AF6" i="4"/>
  <c r="AE6" i="4"/>
  <c r="AD6" i="4"/>
  <c r="AC6" i="4"/>
  <c r="AB6" i="4"/>
  <c r="AA6" i="4"/>
  <c r="Z6" i="4"/>
  <c r="AN6" i="4" s="1"/>
  <c r="AN5" i="4" s="1"/>
  <c r="Y6" i="4"/>
  <c r="X6" i="4"/>
  <c r="W6" i="4"/>
  <c r="V6" i="4"/>
  <c r="U6" i="4"/>
  <c r="T6" i="4"/>
  <c r="S6" i="4"/>
  <c r="R6" i="4"/>
  <c r="Q6" i="4"/>
  <c r="Q7" i="4" s="1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L6" i="4" s="1"/>
  <c r="AL5" i="4" s="1"/>
  <c r="AK4" i="4"/>
  <c r="AK7" i="4" s="1"/>
  <c r="AJ4" i="4"/>
  <c r="AI4" i="4"/>
  <c r="AI7" i="4" s="1"/>
  <c r="AI11" i="4" s="1"/>
  <c r="AH4" i="4"/>
  <c r="AH7" i="4" s="1"/>
  <c r="AG4" i="4"/>
  <c r="AG7" i="4" s="1"/>
  <c r="AG11" i="4" s="1"/>
  <c r="AF4" i="4"/>
  <c r="AE4" i="4"/>
  <c r="AE7" i="4" s="1"/>
  <c r="AD4" i="4"/>
  <c r="AC4" i="4"/>
  <c r="AB4" i="4"/>
  <c r="AB7" i="4" s="1"/>
  <c r="AA4" i="4"/>
  <c r="AA7" i="4" s="1"/>
  <c r="Z4" i="4"/>
  <c r="AN4" i="4" s="1"/>
  <c r="Y4" i="4"/>
  <c r="Y7" i="4" s="1"/>
  <c r="X4" i="4"/>
  <c r="W4" i="4"/>
  <c r="W7" i="4" s="1"/>
  <c r="W11" i="4" s="1"/>
  <c r="V4" i="4"/>
  <c r="V7" i="4" s="1"/>
  <c r="U4" i="4"/>
  <c r="U7" i="4" s="1"/>
  <c r="U11" i="4" s="1"/>
  <c r="T4" i="4"/>
  <c r="S4" i="4"/>
  <c r="S7" i="4" s="1"/>
  <c r="R4" i="4"/>
  <c r="Q4" i="4"/>
  <c r="P4" i="4"/>
  <c r="P7" i="4" s="1"/>
  <c r="O4" i="4"/>
  <c r="O7" i="4" s="1"/>
  <c r="N4" i="4"/>
  <c r="AM4" i="4" s="1"/>
  <c r="M4" i="4"/>
  <c r="M7" i="4" s="1"/>
  <c r="L4" i="4"/>
  <c r="K4" i="4"/>
  <c r="K7" i="4" s="1"/>
  <c r="K11" i="4" s="1"/>
  <c r="J4" i="4"/>
  <c r="J7" i="4" s="1"/>
  <c r="I4" i="4"/>
  <c r="I7" i="4" s="1"/>
  <c r="I11" i="4" s="1"/>
  <c r="I12" i="4" s="1"/>
  <c r="H4" i="4"/>
  <c r="G4" i="4"/>
  <c r="G7" i="4" s="1"/>
  <c r="F4" i="4"/>
  <c r="E4" i="4"/>
  <c r="D4" i="4"/>
  <c r="D7" i="4" s="1"/>
  <c r="C4" i="4"/>
  <c r="C7" i="4" s="1"/>
  <c r="B4" i="4"/>
  <c r="B7" i="4" s="1"/>
  <c r="AN2" i="4"/>
  <c r="AM2" i="4"/>
  <c r="D8" i="1" s="1"/>
  <c r="AL2" i="4"/>
  <c r="F14" i="3"/>
  <c r="F13" i="3" s="1"/>
  <c r="F12" i="3"/>
  <c r="B12" i="3"/>
  <c r="O11" i="3"/>
  <c r="I11" i="3"/>
  <c r="R10" i="3"/>
  <c r="AN9" i="3"/>
  <c r="AM9" i="3"/>
  <c r="AL9" i="3"/>
  <c r="AD8" i="3"/>
  <c r="R8" i="3"/>
  <c r="AG7" i="3"/>
  <c r="AG8" i="3" s="1"/>
  <c r="AC7" i="3"/>
  <c r="AC8" i="3" s="1"/>
  <c r="AA7" i="3"/>
  <c r="AA8" i="3" s="1"/>
  <c r="U7" i="3"/>
  <c r="U8" i="3" s="1"/>
  <c r="O7" i="3"/>
  <c r="O8" i="3" s="1"/>
  <c r="I7" i="3"/>
  <c r="I8" i="3" s="1"/>
  <c r="C7" i="3"/>
  <c r="C8" i="3" s="1"/>
  <c r="AK6" i="3"/>
  <c r="AJ6" i="3"/>
  <c r="AI6" i="3"/>
  <c r="AH6" i="3"/>
  <c r="AG6" i="3"/>
  <c r="AF6" i="3"/>
  <c r="AF7" i="3" s="1"/>
  <c r="AE6" i="3"/>
  <c r="AD6" i="3"/>
  <c r="AC6" i="3"/>
  <c r="AB6" i="3"/>
  <c r="AA6" i="3"/>
  <c r="Z6" i="3"/>
  <c r="Y6" i="3"/>
  <c r="X6" i="3"/>
  <c r="W6" i="3"/>
  <c r="V6" i="3"/>
  <c r="U6" i="3"/>
  <c r="T6" i="3"/>
  <c r="T7" i="3" s="1"/>
  <c r="S6" i="3"/>
  <c r="R6" i="3"/>
  <c r="Q6" i="3"/>
  <c r="P6" i="3"/>
  <c r="O6" i="3"/>
  <c r="N6" i="3"/>
  <c r="M6" i="3"/>
  <c r="L6" i="3"/>
  <c r="K6" i="3"/>
  <c r="J6" i="3"/>
  <c r="I6" i="3"/>
  <c r="H6" i="3"/>
  <c r="H7" i="3" s="1"/>
  <c r="G6" i="3"/>
  <c r="F6" i="3"/>
  <c r="E6" i="3"/>
  <c r="D6" i="3"/>
  <c r="C6" i="3"/>
  <c r="B6" i="3"/>
  <c r="AK4" i="3"/>
  <c r="AK7" i="3" s="1"/>
  <c r="AJ4" i="3"/>
  <c r="AJ7" i="3" s="1"/>
  <c r="AJ11" i="3" s="1"/>
  <c r="AJ12" i="3" s="1"/>
  <c r="AI4" i="3"/>
  <c r="AI7" i="3" s="1"/>
  <c r="AH4" i="3"/>
  <c r="AH7" i="3" s="1"/>
  <c r="AG4" i="3"/>
  <c r="AF4" i="3"/>
  <c r="AE4" i="3"/>
  <c r="AE7" i="3" s="1"/>
  <c r="AD4" i="3"/>
  <c r="AD7" i="3" s="1"/>
  <c r="AD11" i="3" s="1"/>
  <c r="AC4" i="3"/>
  <c r="AB4" i="3"/>
  <c r="AB7" i="3" s="1"/>
  <c r="AA4" i="3"/>
  <c r="Z4" i="3"/>
  <c r="Y4" i="3"/>
  <c r="Y7" i="3" s="1"/>
  <c r="X4" i="3"/>
  <c r="X7" i="3" s="1"/>
  <c r="X11" i="3" s="1"/>
  <c r="W4" i="3"/>
  <c r="W7" i="3" s="1"/>
  <c r="V4" i="3"/>
  <c r="V7" i="3" s="1"/>
  <c r="U4" i="3"/>
  <c r="T4" i="3"/>
  <c r="S4" i="3"/>
  <c r="S7" i="3" s="1"/>
  <c r="R4" i="3"/>
  <c r="R7" i="3" s="1"/>
  <c r="R11" i="3" s="1"/>
  <c r="Q4" i="3"/>
  <c r="Q7" i="3" s="1"/>
  <c r="P4" i="3"/>
  <c r="P7" i="3" s="1"/>
  <c r="O4" i="3"/>
  <c r="N4" i="3"/>
  <c r="M4" i="3"/>
  <c r="M7" i="3" s="1"/>
  <c r="L4" i="3"/>
  <c r="L7" i="3" s="1"/>
  <c r="L11" i="3" s="1"/>
  <c r="L12" i="3" s="1"/>
  <c r="K4" i="3"/>
  <c r="K7" i="3" s="1"/>
  <c r="J4" i="3"/>
  <c r="J7" i="3" s="1"/>
  <c r="I4" i="3"/>
  <c r="H4" i="3"/>
  <c r="G4" i="3"/>
  <c r="G7" i="3" s="1"/>
  <c r="F4" i="3"/>
  <c r="F7" i="3" s="1"/>
  <c r="F11" i="3" s="1"/>
  <c r="F10" i="3" s="1"/>
  <c r="E4" i="3"/>
  <c r="E7" i="3" s="1"/>
  <c r="D4" i="3"/>
  <c r="D7" i="3" s="1"/>
  <c r="C4" i="3"/>
  <c r="B4" i="3"/>
  <c r="B7" i="3" s="1"/>
  <c r="B11" i="3" s="1"/>
  <c r="AN2" i="3"/>
  <c r="AM2" i="3"/>
  <c r="AL2" i="3"/>
  <c r="N27" i="2"/>
  <c r="L27" i="2"/>
  <c r="K27" i="2"/>
  <c r="J27" i="2"/>
  <c r="H27" i="2"/>
  <c r="G27" i="2"/>
  <c r="F27" i="2"/>
  <c r="D27" i="2"/>
  <c r="C27" i="2"/>
  <c r="N15" i="2"/>
  <c r="L15" i="2"/>
  <c r="K15" i="2"/>
  <c r="J15" i="2"/>
  <c r="H15" i="2"/>
  <c r="G15" i="2"/>
  <c r="F15" i="2"/>
  <c r="D15" i="2"/>
  <c r="C15" i="2"/>
  <c r="E19" i="1"/>
  <c r="D19" i="1"/>
  <c r="C19" i="1"/>
  <c r="E14" i="1"/>
  <c r="D14" i="1"/>
  <c r="C14" i="1"/>
  <c r="F8" i="1"/>
  <c r="E8" i="1"/>
  <c r="G8" i="1" s="1"/>
  <c r="C8" i="1"/>
  <c r="E7" i="1"/>
  <c r="D7" i="1"/>
  <c r="F7" i="1" s="1"/>
  <c r="C7" i="1"/>
  <c r="H8" i="3" l="1"/>
  <c r="H11" i="3"/>
  <c r="AF8" i="3"/>
  <c r="AF11" i="3"/>
  <c r="T8" i="3"/>
  <c r="T11" i="3"/>
  <c r="B11" i="4"/>
  <c r="B8" i="4"/>
  <c r="E8" i="3"/>
  <c r="E11" i="3"/>
  <c r="Q8" i="4"/>
  <c r="Q11" i="4"/>
  <c r="Q8" i="3"/>
  <c r="Q11" i="3"/>
  <c r="M11" i="4"/>
  <c r="M8" i="4"/>
  <c r="Y11" i="4"/>
  <c r="Y8" i="4"/>
  <c r="AK11" i="4"/>
  <c r="AK8" i="4"/>
  <c r="K8" i="3"/>
  <c r="K11" i="3"/>
  <c r="M8" i="3"/>
  <c r="M11" i="3"/>
  <c r="Y8" i="3"/>
  <c r="Y11" i="3"/>
  <c r="AK8" i="3"/>
  <c r="AK11" i="3"/>
  <c r="X8" i="3"/>
  <c r="L10" i="3"/>
  <c r="I12" i="3"/>
  <c r="I14" i="3"/>
  <c r="I10" i="3"/>
  <c r="AJ14" i="3"/>
  <c r="AM7" i="4"/>
  <c r="AM3" i="4"/>
  <c r="AN7" i="4"/>
  <c r="AN3" i="4"/>
  <c r="AL4" i="4"/>
  <c r="E11" i="4"/>
  <c r="Z7" i="3"/>
  <c r="AN4" i="3"/>
  <c r="D8" i="4"/>
  <c r="D11" i="4"/>
  <c r="P8" i="4"/>
  <c r="P11" i="4"/>
  <c r="AB8" i="4"/>
  <c r="AB11" i="4"/>
  <c r="AL4" i="3"/>
  <c r="O10" i="3"/>
  <c r="O12" i="3"/>
  <c r="O14" i="3" s="1"/>
  <c r="C8" i="4"/>
  <c r="C11" i="4"/>
  <c r="AB11" i="3"/>
  <c r="AB8" i="3"/>
  <c r="AM6" i="3"/>
  <c r="AM5" i="3" s="1"/>
  <c r="AN6" i="3"/>
  <c r="AN5" i="3" s="1"/>
  <c r="AJ8" i="3"/>
  <c r="X10" i="3"/>
  <c r="U11" i="3"/>
  <c r="R12" i="3"/>
  <c r="R14" i="3" s="1"/>
  <c r="L14" i="3"/>
  <c r="F17" i="3"/>
  <c r="AC11" i="4"/>
  <c r="W8" i="3"/>
  <c r="W11" i="3"/>
  <c r="B14" i="3"/>
  <c r="B10" i="3"/>
  <c r="O8" i="4"/>
  <c r="O11" i="4"/>
  <c r="G8" i="4"/>
  <c r="G11" i="4"/>
  <c r="S8" i="4"/>
  <c r="S11" i="4"/>
  <c r="AE8" i="4"/>
  <c r="AE11" i="4"/>
  <c r="AJ11" i="4"/>
  <c r="X14" i="4"/>
  <c r="X10" i="4"/>
  <c r="X12" i="4"/>
  <c r="B8" i="3"/>
  <c r="G8" i="3"/>
  <c r="G11" i="3"/>
  <c r="S8" i="3"/>
  <c r="S11" i="3"/>
  <c r="AE8" i="3"/>
  <c r="AE11" i="3"/>
  <c r="AC11" i="3"/>
  <c r="H7" i="4"/>
  <c r="T7" i="4"/>
  <c r="AF7" i="4"/>
  <c r="N7" i="4"/>
  <c r="AI8" i="3"/>
  <c r="AI11" i="3"/>
  <c r="N7" i="3"/>
  <c r="AM4" i="3"/>
  <c r="F8" i="3"/>
  <c r="AG14" i="4"/>
  <c r="AG10" i="4"/>
  <c r="U8" i="4"/>
  <c r="Z14" i="4"/>
  <c r="Z10" i="4"/>
  <c r="AA8" i="4"/>
  <c r="AA11" i="4"/>
  <c r="P11" i="3"/>
  <c r="P8" i="3"/>
  <c r="AL6" i="3"/>
  <c r="AL5" i="3" s="1"/>
  <c r="X12" i="3"/>
  <c r="X14" i="3" s="1"/>
  <c r="I10" i="4"/>
  <c r="I14" i="4"/>
  <c r="L8" i="3"/>
  <c r="AJ10" i="3"/>
  <c r="AG11" i="3"/>
  <c r="AD12" i="3"/>
  <c r="AD14" i="3" s="1"/>
  <c r="J8" i="4"/>
  <c r="J11" i="4"/>
  <c r="V8" i="4"/>
  <c r="V11" i="4"/>
  <c r="AH8" i="4"/>
  <c r="AH11" i="4"/>
  <c r="G7" i="1"/>
  <c r="L10" i="4"/>
  <c r="L12" i="4"/>
  <c r="L14" i="4" s="1"/>
  <c r="D11" i="3"/>
  <c r="D8" i="3"/>
  <c r="AD10" i="3"/>
  <c r="AA11" i="3"/>
  <c r="U10" i="4"/>
  <c r="J8" i="3"/>
  <c r="J11" i="3"/>
  <c r="V8" i="3"/>
  <c r="V11" i="3"/>
  <c r="AH8" i="3"/>
  <c r="AH11" i="3"/>
  <c r="C11" i="3"/>
  <c r="K14" i="4"/>
  <c r="K10" i="4"/>
  <c r="K12" i="4"/>
  <c r="W10" i="4"/>
  <c r="W12" i="4"/>
  <c r="W14" i="4" s="1"/>
  <c r="AI10" i="4"/>
  <c r="AI12" i="4"/>
  <c r="AI14" i="4" s="1"/>
  <c r="Z8" i="4"/>
  <c r="U12" i="4"/>
  <c r="U14" i="4" s="1"/>
  <c r="AD11" i="4"/>
  <c r="F11" i="4"/>
  <c r="R11" i="4"/>
  <c r="U17" i="4" l="1"/>
  <c r="U13" i="4"/>
  <c r="AI17" i="4"/>
  <c r="AI13" i="4"/>
  <c r="W17" i="4"/>
  <c r="W13" i="4"/>
  <c r="X13" i="3"/>
  <c r="X17" i="3"/>
  <c r="AD13" i="3"/>
  <c r="AD17" i="3"/>
  <c r="L13" i="4"/>
  <c r="L17" i="4"/>
  <c r="O17" i="3"/>
  <c r="O13" i="3"/>
  <c r="R13" i="3"/>
  <c r="R17" i="3"/>
  <c r="K17" i="4"/>
  <c r="K13" i="4"/>
  <c r="X13" i="4"/>
  <c r="X17" i="4"/>
  <c r="D10" i="3"/>
  <c r="D12" i="3"/>
  <c r="D14" i="3" s="1"/>
  <c r="AC12" i="4"/>
  <c r="AC14" i="4" s="1"/>
  <c r="AC10" i="4"/>
  <c r="AE10" i="3"/>
  <c r="AE12" i="3"/>
  <c r="AE14" i="3" s="1"/>
  <c r="F19" i="3"/>
  <c r="F16" i="3"/>
  <c r="E12" i="4"/>
  <c r="E14" i="4"/>
  <c r="E10" i="4"/>
  <c r="AK12" i="3"/>
  <c r="AK14" i="3"/>
  <c r="AK10" i="3"/>
  <c r="B10" i="4"/>
  <c r="B12" i="4"/>
  <c r="B17" i="3"/>
  <c r="B13" i="3"/>
  <c r="Z13" i="4"/>
  <c r="Z17" i="4"/>
  <c r="AH12" i="3"/>
  <c r="AH14" i="3"/>
  <c r="AH10" i="3"/>
  <c r="Z11" i="3"/>
  <c r="Z8" i="3"/>
  <c r="Y12" i="3"/>
  <c r="Y14" i="3"/>
  <c r="Y10" i="3"/>
  <c r="T8" i="4"/>
  <c r="T11" i="4"/>
  <c r="W12" i="3"/>
  <c r="W10" i="3"/>
  <c r="W14" i="3"/>
  <c r="AN7" i="3"/>
  <c r="AN3" i="3"/>
  <c r="T12" i="3"/>
  <c r="T14" i="3" s="1"/>
  <c r="T10" i="3"/>
  <c r="AL7" i="3"/>
  <c r="AL3" i="3"/>
  <c r="AF8" i="4"/>
  <c r="AF11" i="4"/>
  <c r="I17" i="3"/>
  <c r="I13" i="3"/>
  <c r="E10" i="3"/>
  <c r="E12" i="3"/>
  <c r="E14" i="3" s="1"/>
  <c r="AD12" i="4"/>
  <c r="AD14" i="4" s="1"/>
  <c r="AD10" i="4"/>
  <c r="H8" i="4"/>
  <c r="H11" i="4"/>
  <c r="Y10" i="4"/>
  <c r="Y12" i="4"/>
  <c r="Y14" i="4" s="1"/>
  <c r="I17" i="4"/>
  <c r="I13" i="4"/>
  <c r="S12" i="4"/>
  <c r="S14" i="4"/>
  <c r="S10" i="4"/>
  <c r="AM7" i="3"/>
  <c r="AM3" i="3"/>
  <c r="U12" i="3"/>
  <c r="U14" i="3" s="1"/>
  <c r="U10" i="3"/>
  <c r="N11" i="3"/>
  <c r="N8" i="3"/>
  <c r="AB10" i="4"/>
  <c r="AB12" i="4"/>
  <c r="AB14" i="4" s="1"/>
  <c r="M12" i="3"/>
  <c r="M14" i="3"/>
  <c r="M10" i="3"/>
  <c r="AF12" i="3"/>
  <c r="AF14" i="3"/>
  <c r="AF10" i="3"/>
  <c r="D10" i="4"/>
  <c r="D12" i="4"/>
  <c r="D14" i="4" s="1"/>
  <c r="C12" i="4"/>
  <c r="C14" i="4"/>
  <c r="C10" i="4"/>
  <c r="AE12" i="4"/>
  <c r="AE14" i="4"/>
  <c r="AE10" i="4"/>
  <c r="V12" i="3"/>
  <c r="V14" i="3"/>
  <c r="V10" i="3"/>
  <c r="AL7" i="4"/>
  <c r="AL3" i="4"/>
  <c r="Q10" i="3"/>
  <c r="Q12" i="3"/>
  <c r="Q14" i="3" s="1"/>
  <c r="AB10" i="3"/>
  <c r="AB12" i="3"/>
  <c r="AB14" i="3" s="1"/>
  <c r="AG12" i="3"/>
  <c r="AG14" i="3"/>
  <c r="AG10" i="3"/>
  <c r="AG17" i="4"/>
  <c r="AG13" i="4"/>
  <c r="L13" i="3"/>
  <c r="L17" i="3"/>
  <c r="S10" i="3"/>
  <c r="S12" i="3"/>
  <c r="S14" i="3" s="1"/>
  <c r="J12" i="3"/>
  <c r="J14" i="3"/>
  <c r="J10" i="3"/>
  <c r="G12" i="4"/>
  <c r="G14" i="4"/>
  <c r="G10" i="4"/>
  <c r="G10" i="3"/>
  <c r="G12" i="3"/>
  <c r="G14" i="3" s="1"/>
  <c r="O12" i="4"/>
  <c r="O14" i="4"/>
  <c r="O10" i="4"/>
  <c r="AM8" i="4"/>
  <c r="AM11" i="4"/>
  <c r="P10" i="3"/>
  <c r="P12" i="3"/>
  <c r="P14" i="3" s="1"/>
  <c r="P10" i="4"/>
  <c r="P12" i="4"/>
  <c r="P14" i="4" s="1"/>
  <c r="AJ13" i="3"/>
  <c r="AJ17" i="3"/>
  <c r="K12" i="3"/>
  <c r="K14" i="3"/>
  <c r="K10" i="3"/>
  <c r="H12" i="3"/>
  <c r="H14" i="3" s="1"/>
  <c r="H10" i="3"/>
  <c r="R12" i="4"/>
  <c r="R14" i="4" s="1"/>
  <c r="R10" i="4"/>
  <c r="F12" i="4"/>
  <c r="F14" i="4"/>
  <c r="F10" i="4"/>
  <c r="AK10" i="4"/>
  <c r="AK12" i="4"/>
  <c r="AK14" i="4" s="1"/>
  <c r="C14" i="3"/>
  <c r="C10" i="3"/>
  <c r="C12" i="3"/>
  <c r="AJ10" i="4"/>
  <c r="AJ12" i="4"/>
  <c r="AJ14" i="4" s="1"/>
  <c r="AC10" i="3"/>
  <c r="AC12" i="3"/>
  <c r="AC14" i="3" s="1"/>
  <c r="M10" i="4"/>
  <c r="M12" i="4"/>
  <c r="M14" i="4" s="1"/>
  <c r="AH12" i="4"/>
  <c r="AH14" i="4" s="1"/>
  <c r="AH10" i="4"/>
  <c r="AN8" i="4"/>
  <c r="AN11" i="4"/>
  <c r="V12" i="4"/>
  <c r="V14" i="4" s="1"/>
  <c r="V10" i="4"/>
  <c r="AI12" i="3"/>
  <c r="AI10" i="3"/>
  <c r="AI14" i="3"/>
  <c r="AA14" i="3"/>
  <c r="AA10" i="3"/>
  <c r="AA12" i="3"/>
  <c r="J12" i="4"/>
  <c r="J14" i="4"/>
  <c r="J10" i="4"/>
  <c r="AA14" i="4"/>
  <c r="AA12" i="4"/>
  <c r="AA10" i="4"/>
  <c r="N11" i="4"/>
  <c r="N8" i="4"/>
  <c r="Q12" i="4"/>
  <c r="Q14" i="4"/>
  <c r="Q10" i="4"/>
  <c r="P13" i="3" l="1"/>
  <c r="P17" i="3"/>
  <c r="Y13" i="4"/>
  <c r="Y17" i="4"/>
  <c r="AC13" i="3"/>
  <c r="AC17" i="3"/>
  <c r="Q13" i="3"/>
  <c r="Q17" i="3"/>
  <c r="AJ13" i="4"/>
  <c r="AJ17" i="4"/>
  <c r="U17" i="3"/>
  <c r="U13" i="3"/>
  <c r="AB13" i="4"/>
  <c r="AB17" i="4"/>
  <c r="D13" i="3"/>
  <c r="D17" i="3"/>
  <c r="D13" i="4"/>
  <c r="D17" i="4"/>
  <c r="AE13" i="3"/>
  <c r="AE17" i="3"/>
  <c r="M13" i="4"/>
  <c r="M17" i="4"/>
  <c r="AB13" i="3"/>
  <c r="AB17" i="3"/>
  <c r="AC13" i="4"/>
  <c r="AC17" i="4"/>
  <c r="R17" i="4"/>
  <c r="R13" i="4"/>
  <c r="S13" i="3"/>
  <c r="S17" i="3"/>
  <c r="T13" i="3"/>
  <c r="T17" i="3"/>
  <c r="H13" i="3"/>
  <c r="H17" i="3"/>
  <c r="AD17" i="4"/>
  <c r="AD13" i="4"/>
  <c r="V17" i="4"/>
  <c r="V13" i="4"/>
  <c r="E13" i="3"/>
  <c r="E17" i="3"/>
  <c r="G13" i="3"/>
  <c r="G17" i="3"/>
  <c r="AK13" i="4"/>
  <c r="AK17" i="4"/>
  <c r="AH17" i="4"/>
  <c r="AH13" i="4"/>
  <c r="P13" i="4"/>
  <c r="P17" i="4"/>
  <c r="AM10" i="4"/>
  <c r="Q13" i="4"/>
  <c r="Q17" i="4"/>
  <c r="AI17" i="3"/>
  <c r="AI13" i="3"/>
  <c r="AN11" i="3"/>
  <c r="AN8" i="3"/>
  <c r="I16" i="4"/>
  <c r="I19" i="4"/>
  <c r="X16" i="4"/>
  <c r="X19" i="4"/>
  <c r="X16" i="3"/>
  <c r="X19" i="3"/>
  <c r="AE13" i="4"/>
  <c r="AE17" i="4"/>
  <c r="E13" i="4"/>
  <c r="E17" i="4"/>
  <c r="N10" i="4"/>
  <c r="N12" i="4"/>
  <c r="AM12" i="4" s="1"/>
  <c r="AM14" i="4" s="1"/>
  <c r="I19" i="3"/>
  <c r="I16" i="3"/>
  <c r="AN12" i="4"/>
  <c r="AN14" i="4" s="1"/>
  <c r="N10" i="3"/>
  <c r="N12" i="3"/>
  <c r="AM12" i="3" s="1"/>
  <c r="AF12" i="4"/>
  <c r="AF10" i="4"/>
  <c r="AF14" i="4"/>
  <c r="T12" i="4"/>
  <c r="T10" i="4"/>
  <c r="T14" i="4"/>
  <c r="AA17" i="3"/>
  <c r="AA13" i="3"/>
  <c r="AD19" i="3"/>
  <c r="AD16" i="3"/>
  <c r="C17" i="3"/>
  <c r="C13" i="3"/>
  <c r="M17" i="3"/>
  <c r="M13" i="3"/>
  <c r="L16" i="4"/>
  <c r="L19" i="4"/>
  <c r="Z19" i="4"/>
  <c r="Z16" i="4"/>
  <c r="F17" i="4"/>
  <c r="F13" i="4"/>
  <c r="L16" i="3"/>
  <c r="L19" i="3"/>
  <c r="AL11" i="4"/>
  <c r="AL8" i="4"/>
  <c r="B16" i="3"/>
  <c r="B19" i="3"/>
  <c r="AN10" i="4"/>
  <c r="AG16" i="4"/>
  <c r="AG19" i="4"/>
  <c r="H12" i="4"/>
  <c r="AL12" i="4" s="1"/>
  <c r="H14" i="4"/>
  <c r="H10" i="4"/>
  <c r="R19" i="3"/>
  <c r="R16" i="3"/>
  <c r="J17" i="4"/>
  <c r="J13" i="4"/>
  <c r="Y17" i="3"/>
  <c r="Y13" i="3"/>
  <c r="AI16" i="4"/>
  <c r="AI19" i="4"/>
  <c r="AK17" i="3"/>
  <c r="AK13" i="3"/>
  <c r="S13" i="4"/>
  <c r="S17" i="4"/>
  <c r="O13" i="4"/>
  <c r="O17" i="4"/>
  <c r="K16" i="4"/>
  <c r="K19" i="4"/>
  <c r="V13" i="3"/>
  <c r="V17" i="3"/>
  <c r="B14" i="4"/>
  <c r="J13" i="3"/>
  <c r="J17" i="3"/>
  <c r="Z14" i="3"/>
  <c r="Z10" i="3"/>
  <c r="Z12" i="3"/>
  <c r="AN12" i="3" s="1"/>
  <c r="K17" i="3"/>
  <c r="K13" i="3"/>
  <c r="AH13" i="3"/>
  <c r="AH17" i="3"/>
  <c r="C13" i="4"/>
  <c r="C17" i="4"/>
  <c r="W17" i="3"/>
  <c r="W13" i="3"/>
  <c r="AJ16" i="3"/>
  <c r="AJ19" i="3"/>
  <c r="AA13" i="4"/>
  <c r="AA17" i="4"/>
  <c r="W16" i="4"/>
  <c r="W19" i="4"/>
  <c r="G13" i="4"/>
  <c r="G17" i="4"/>
  <c r="AF13" i="3"/>
  <c r="AF17" i="3"/>
  <c r="AL11" i="3"/>
  <c r="AL8" i="3"/>
  <c r="AL12" i="3"/>
  <c r="AG17" i="3"/>
  <c r="AG13" i="3"/>
  <c r="AM8" i="3"/>
  <c r="AM11" i="3"/>
  <c r="O19" i="3"/>
  <c r="O16" i="3"/>
  <c r="U16" i="4"/>
  <c r="U19" i="4"/>
  <c r="AM17" i="4" l="1"/>
  <c r="AM13" i="4"/>
  <c r="AN13" i="4"/>
  <c r="AN17" i="4"/>
  <c r="P19" i="4"/>
  <c r="P16" i="4"/>
  <c r="AK16" i="3"/>
  <c r="AK19" i="3"/>
  <c r="H19" i="3"/>
  <c r="H16" i="3"/>
  <c r="M16" i="4"/>
  <c r="M19" i="4"/>
  <c r="K20" i="4" s="1"/>
  <c r="AJ16" i="4"/>
  <c r="AJ19" i="4"/>
  <c r="AD19" i="4"/>
  <c r="AD16" i="4"/>
  <c r="W16" i="3"/>
  <c r="W19" i="3"/>
  <c r="W20" i="3" s="1"/>
  <c r="N14" i="4"/>
  <c r="AG19" i="3"/>
  <c r="AG16" i="3"/>
  <c r="F19" i="4"/>
  <c r="F16" i="4"/>
  <c r="Y16" i="3"/>
  <c r="Y19" i="3"/>
  <c r="AF17" i="4"/>
  <c r="AF13" i="4"/>
  <c r="E19" i="4"/>
  <c r="E16" i="4"/>
  <c r="G19" i="3"/>
  <c r="G16" i="3"/>
  <c r="S19" i="3"/>
  <c r="S16" i="3"/>
  <c r="D19" i="4"/>
  <c r="D16" i="4"/>
  <c r="AC19" i="3"/>
  <c r="AC20" i="3" s="1"/>
  <c r="AC16" i="3"/>
  <c r="AB16" i="3"/>
  <c r="AB19" i="3"/>
  <c r="AL14" i="3"/>
  <c r="AL10" i="3"/>
  <c r="AK16" i="4"/>
  <c r="AK19" i="4"/>
  <c r="AI20" i="4" s="1"/>
  <c r="AF19" i="3"/>
  <c r="AF16" i="3"/>
  <c r="H17" i="4"/>
  <c r="H13" i="4"/>
  <c r="AA16" i="3"/>
  <c r="AA19" i="3"/>
  <c r="Q19" i="4"/>
  <c r="Q16" i="4"/>
  <c r="E19" i="3"/>
  <c r="E16" i="3"/>
  <c r="D16" i="3"/>
  <c r="D19" i="3"/>
  <c r="Y16" i="4"/>
  <c r="Y19" i="4"/>
  <c r="W20" i="4" s="1"/>
  <c r="Z13" i="3"/>
  <c r="Z17" i="3"/>
  <c r="AH16" i="4"/>
  <c r="AH19" i="4"/>
  <c r="T19" i="3"/>
  <c r="T16" i="3"/>
  <c r="C19" i="4"/>
  <c r="C16" i="4"/>
  <c r="B20" i="3"/>
  <c r="AI16" i="3"/>
  <c r="AI19" i="3"/>
  <c r="AI20" i="3" s="1"/>
  <c r="R19" i="4"/>
  <c r="R16" i="4"/>
  <c r="U19" i="3"/>
  <c r="U16" i="3"/>
  <c r="Q19" i="3"/>
  <c r="Q16" i="3"/>
  <c r="AM14" i="3"/>
  <c r="AM10" i="3"/>
  <c r="K16" i="3"/>
  <c r="K19" i="3"/>
  <c r="K20" i="3" s="1"/>
  <c r="AL14" i="4"/>
  <c r="AL10" i="4"/>
  <c r="C19" i="3"/>
  <c r="C16" i="3"/>
  <c r="AC19" i="4"/>
  <c r="AC16" i="4"/>
  <c r="AB19" i="4"/>
  <c r="AB16" i="4"/>
  <c r="P16" i="3"/>
  <c r="P19" i="3"/>
  <c r="J19" i="3"/>
  <c r="J16" i="3"/>
  <c r="T17" i="4"/>
  <c r="T13" i="4"/>
  <c r="B13" i="4"/>
  <c r="B17" i="4"/>
  <c r="AE19" i="3"/>
  <c r="AE16" i="3"/>
  <c r="V19" i="3"/>
  <c r="V16" i="3"/>
  <c r="AN14" i="3"/>
  <c r="AN10" i="3"/>
  <c r="G19" i="4"/>
  <c r="G16" i="4"/>
  <c r="AH19" i="3"/>
  <c r="AH16" i="3"/>
  <c r="J16" i="4"/>
  <c r="J19" i="4"/>
  <c r="M16" i="3"/>
  <c r="M19" i="3"/>
  <c r="AE19" i="4"/>
  <c r="AE16" i="4"/>
  <c r="O19" i="4"/>
  <c r="O16" i="4"/>
  <c r="AA19" i="4"/>
  <c r="Z20" i="4" s="1"/>
  <c r="AA16" i="4"/>
  <c r="S19" i="4"/>
  <c r="S16" i="4"/>
  <c r="N14" i="3"/>
  <c r="V16" i="4"/>
  <c r="V19" i="4"/>
  <c r="H16" i="4" l="1"/>
  <c r="H19" i="4"/>
  <c r="H20" i="4" s="1"/>
  <c r="AL13" i="4"/>
  <c r="AL17" i="4"/>
  <c r="AF20" i="3"/>
  <c r="T16" i="4"/>
  <c r="T19" i="4"/>
  <c r="T20" i="4" s="1"/>
  <c r="AN13" i="3"/>
  <c r="AN17" i="3"/>
  <c r="AM17" i="3"/>
  <c r="AM13" i="3"/>
  <c r="AL17" i="3"/>
  <c r="AL13" i="3"/>
  <c r="AN19" i="4"/>
  <c r="E18" i="1" s="1"/>
  <c r="E20" i="1" s="1"/>
  <c r="AN16" i="4"/>
  <c r="Z16" i="3"/>
  <c r="Z19" i="3"/>
  <c r="Z20" i="3" s="1"/>
  <c r="Z26" i="3" s="1"/>
  <c r="E20" i="4"/>
  <c r="AC20" i="4"/>
  <c r="Z26" i="4" s="1"/>
  <c r="Q20" i="3"/>
  <c r="T20" i="3"/>
  <c r="H20" i="3"/>
  <c r="B26" i="3" s="1"/>
  <c r="AF16" i="4"/>
  <c r="AF19" i="4"/>
  <c r="AF20" i="4" s="1"/>
  <c r="N13" i="4"/>
  <c r="N17" i="4"/>
  <c r="E20" i="3"/>
  <c r="B19" i="4"/>
  <c r="B20" i="4" s="1"/>
  <c r="B16" i="4"/>
  <c r="Q20" i="4"/>
  <c r="N13" i="3"/>
  <c r="N17" i="3"/>
  <c r="AM19" i="4"/>
  <c r="D18" i="1" s="1"/>
  <c r="D20" i="1" s="1"/>
  <c r="AM16" i="4"/>
  <c r="B26" i="4" l="1"/>
  <c r="AL19" i="4"/>
  <c r="C18" i="1" s="1"/>
  <c r="C20" i="1" s="1"/>
  <c r="AL16" i="4"/>
  <c r="N19" i="4"/>
  <c r="N20" i="4" s="1"/>
  <c r="N26" i="4" s="1"/>
  <c r="N16" i="4"/>
  <c r="AM19" i="3"/>
  <c r="D13" i="1" s="1"/>
  <c r="D15" i="1" s="1"/>
  <c r="AM16" i="3"/>
  <c r="N16" i="3"/>
  <c r="N19" i="3"/>
  <c r="N20" i="3" s="1"/>
  <c r="N26" i="3" s="1"/>
  <c r="AN16" i="3"/>
  <c r="AN19" i="3"/>
  <c r="E13" i="1" s="1"/>
  <c r="E15" i="1" s="1"/>
  <c r="AL16" i="3"/>
  <c r="AL19" i="3"/>
  <c r="C13" i="1" s="1"/>
  <c r="C15" i="1" s="1"/>
</calcChain>
</file>

<file path=xl/sharedStrings.xml><?xml version="1.0" encoding="utf-8"?>
<sst xmlns="http://schemas.openxmlformats.org/spreadsheetml/2006/main" count="367" uniqueCount="208">
  <si>
    <r>
      <rPr>
        <b/>
        <sz val="14"/>
        <color rgb="FF1A2540"/>
        <rFont val="Noto Sans CJK SC"/>
        <family val="2"/>
      </rPr>
      <t>聯茂</t>
    </r>
    <r>
      <rPr>
        <b/>
        <sz val="14"/>
        <color rgb="FF1A2540"/>
        <rFont val="Arial"/>
        <family val="2"/>
      </rPr>
      <t xml:space="preserve">(6213) vs </t>
    </r>
    <r>
      <rPr>
        <b/>
        <sz val="14"/>
        <color rgb="FF1A2540"/>
        <rFont val="Noto Sans CJK SC"/>
        <family val="2"/>
      </rPr>
      <t>台燿</t>
    </r>
    <r>
      <rPr>
        <b/>
        <sz val="14"/>
        <color rgb="FF1A2540"/>
        <rFont val="Arial"/>
        <family val="2"/>
      </rPr>
      <t>(6274)</t>
    </r>
    <r>
      <rPr>
        <b/>
        <sz val="14"/>
        <color rgb="FF1A2540"/>
        <rFont val="Noto Sans CJK SC"/>
        <family val="2"/>
      </rPr>
      <t xml:space="preserve">｜未來三年損益模型 </t>
    </r>
    <r>
      <rPr>
        <b/>
        <sz val="14"/>
        <color rgb="FF1A2540"/>
        <rFont val="Arial"/>
        <family val="2"/>
      </rPr>
      <t xml:space="preserve">vs </t>
    </r>
    <r>
      <rPr>
        <b/>
        <sz val="14"/>
        <color rgb="FF1A2540"/>
        <rFont val="Noto Sans CJK SC"/>
        <family val="2"/>
      </rPr>
      <t>市場共識（</t>
    </r>
    <r>
      <rPr>
        <b/>
        <sz val="14"/>
        <color rgb="FF1A2540"/>
        <rFont val="Arial"/>
        <family val="2"/>
      </rPr>
      <t>v6</t>
    </r>
    <r>
      <rPr>
        <b/>
        <sz val="14"/>
        <color rgb="FF1A2540"/>
        <rFont val="Noto Sans CJK SC"/>
        <family val="2"/>
      </rPr>
      <t>：</t>
    </r>
    <r>
      <rPr>
        <b/>
        <sz val="14"/>
        <color rgb="FF1A2540"/>
        <rFont val="Arial"/>
        <family val="2"/>
      </rPr>
      <t>M7+</t>
    </r>
    <r>
      <rPr>
        <b/>
        <sz val="14"/>
        <color rgb="FF1A2540"/>
        <rFont val="Noto Sans CJK SC"/>
        <family val="2"/>
      </rPr>
      <t>填滿高階產能＋逐季漲價延續至</t>
    </r>
    <r>
      <rPr>
        <b/>
        <sz val="14"/>
        <color rgb="FF1A2540"/>
        <rFont val="Arial"/>
        <family val="2"/>
      </rPr>
      <t>2027</t>
    </r>
    <r>
      <rPr>
        <b/>
        <sz val="14"/>
        <color rgb="FF1A2540"/>
        <rFont val="Noto Sans CJK SC"/>
        <family val="2"/>
      </rPr>
      <t>）</t>
    </r>
  </si>
  <si>
    <r>
      <rPr>
        <i/>
        <sz val="9"/>
        <color rgb="FF808080"/>
        <rFont val="Noto Sans CJK SC"/>
        <family val="2"/>
      </rPr>
      <t xml:space="preserve">報告日期 </t>
    </r>
    <r>
      <rPr>
        <i/>
        <sz val="9"/>
        <color rgb="FF808080"/>
        <rFont val="Arial"/>
        <family val="2"/>
      </rPr>
      <t>2026/07/25</t>
    </r>
    <r>
      <rPr>
        <i/>
        <sz val="9"/>
        <color rgb="FF808080"/>
        <rFont val="Noto Sans CJK SC"/>
        <family val="2"/>
      </rPr>
      <t>｜</t>
    </r>
    <r>
      <rPr>
        <i/>
        <sz val="9"/>
        <color rgb="FF808080"/>
        <rFont val="Arial"/>
        <family val="2"/>
      </rPr>
      <t>v6</t>
    </r>
    <r>
      <rPr>
        <i/>
        <sz val="9"/>
        <color rgb="FF808080"/>
        <rFont val="Noto Sans CJK SC"/>
        <family val="2"/>
      </rPr>
      <t xml:space="preserve">：①聯茂 </t>
    </r>
    <r>
      <rPr>
        <i/>
        <sz val="9"/>
        <color rgb="FF808080"/>
        <rFont val="Arial"/>
        <family val="2"/>
      </rPr>
      <t>2027H2</t>
    </r>
    <r>
      <rPr>
        <i/>
        <sz val="9"/>
        <color rgb="FF808080"/>
        <rFont val="Noto Sans CJK SC"/>
        <family val="2"/>
      </rPr>
      <t xml:space="preserve">起 </t>
    </r>
    <r>
      <rPr>
        <i/>
        <sz val="9"/>
        <color rgb="FF808080"/>
        <rFont val="Arial"/>
        <family val="2"/>
      </rPr>
      <t>M7+</t>
    </r>
    <r>
      <rPr>
        <i/>
        <sz val="9"/>
        <color rgb="FF808080"/>
        <rFont val="Noto Sans CJK SC"/>
        <family val="2"/>
      </rPr>
      <t>填滿高階線產能、</t>
    </r>
    <r>
      <rPr>
        <i/>
        <sz val="9"/>
        <color rgb="FF808080"/>
        <rFont val="Arial"/>
        <family val="2"/>
      </rPr>
      <t>M6</t>
    </r>
    <r>
      <rPr>
        <i/>
        <sz val="9"/>
        <color rgb="FF808080"/>
        <rFont val="Noto Sans CJK SC"/>
        <family val="2"/>
      </rPr>
      <t>削減轉</t>
    </r>
    <r>
      <rPr>
        <i/>
        <sz val="9"/>
        <color rgb="FF808080"/>
        <rFont val="Arial"/>
        <family val="2"/>
      </rPr>
      <t>M7</t>
    </r>
    <r>
      <rPr>
        <i/>
        <sz val="9"/>
        <color rgb="FF808080"/>
        <rFont val="Noto Sans CJK SC"/>
        <family val="2"/>
      </rPr>
      <t>（</t>
    </r>
    <r>
      <rPr>
        <i/>
        <sz val="9"/>
        <color rgb="FF808080"/>
        <rFont val="Arial"/>
        <family val="2"/>
      </rPr>
      <t>General server</t>
    </r>
    <r>
      <rPr>
        <i/>
        <sz val="9"/>
        <color rgb="FF808080"/>
        <rFont val="Noto Sans CJK SC"/>
        <family val="2"/>
      </rPr>
      <t>由</t>
    </r>
    <r>
      <rPr>
        <i/>
        <sz val="9"/>
        <color rgb="FF808080"/>
        <rFont val="Arial"/>
        <family val="2"/>
      </rPr>
      <t>M6</t>
    </r>
    <r>
      <rPr>
        <i/>
        <sz val="9"/>
        <color rgb="FF808080"/>
        <rFont val="Noto Sans CJK SC"/>
        <family val="2"/>
      </rPr>
      <t>轉</t>
    </r>
    <r>
      <rPr>
        <i/>
        <sz val="9"/>
        <color rgb="FF808080"/>
        <rFont val="Arial"/>
        <family val="2"/>
      </rPr>
      <t>M7</t>
    </r>
    <r>
      <rPr>
        <i/>
        <sz val="9"/>
        <color rgb="FF808080"/>
        <rFont val="Noto Sans CJK SC"/>
        <family val="2"/>
      </rPr>
      <t>；</t>
    </r>
    <r>
      <rPr>
        <i/>
        <sz val="9"/>
        <color rgb="FF808080"/>
        <rFont val="Arial"/>
        <family val="2"/>
      </rPr>
      <t>Low DK</t>
    </r>
    <r>
      <rPr>
        <i/>
        <sz val="9"/>
        <color rgb="FF808080"/>
        <rFont val="Noto Sans CJK SC"/>
        <family val="2"/>
      </rPr>
      <t>布無虞、</t>
    </r>
    <r>
      <rPr>
        <i/>
        <sz val="9"/>
        <color rgb="FF808080"/>
        <rFont val="Arial"/>
        <family val="2"/>
      </rPr>
      <t>M7+</t>
    </r>
    <r>
      <rPr>
        <i/>
        <sz val="9"/>
        <color rgb="FF808080"/>
        <rFont val="Noto Sans CJK SC"/>
        <family val="2"/>
      </rPr>
      <t>產能才稀缺）②台燿新增產能全數</t>
    </r>
    <r>
      <rPr>
        <i/>
        <sz val="9"/>
        <color rgb="FF808080"/>
        <rFont val="Arial"/>
        <family val="2"/>
      </rPr>
      <t>M7+ ③</t>
    </r>
    <r>
      <rPr>
        <i/>
        <sz val="9"/>
        <color rgb="FF808080"/>
        <rFont val="Noto Sans CJK SC"/>
        <family val="2"/>
      </rPr>
      <t xml:space="preserve">漲價路徑 </t>
    </r>
    <r>
      <rPr>
        <i/>
        <sz val="9"/>
        <color rgb="FF808080"/>
        <rFont val="Arial"/>
        <family val="2"/>
      </rPr>
      <t>26H2 +12.5%/</t>
    </r>
    <r>
      <rPr>
        <i/>
        <sz val="9"/>
        <color rgb="FF808080"/>
        <rFont val="Noto Sans CJK SC"/>
        <family val="2"/>
      </rPr>
      <t>季、</t>
    </r>
    <r>
      <rPr>
        <i/>
        <sz val="9"/>
        <color rgb="FF808080"/>
        <rFont val="Arial"/>
        <family val="2"/>
      </rPr>
      <t>27H1 +10%</t>
    </r>
    <r>
      <rPr>
        <i/>
        <sz val="9"/>
        <color rgb="FF808080"/>
        <rFont val="Noto Sans CJK SC"/>
        <family val="2"/>
      </rPr>
      <t>、</t>
    </r>
    <r>
      <rPr>
        <i/>
        <sz val="9"/>
        <color rgb="FF808080"/>
        <rFont val="Arial"/>
        <family val="2"/>
      </rPr>
      <t>27H2 +6%</t>
    </r>
    <r>
      <rPr>
        <i/>
        <sz val="9"/>
        <color rgb="FF808080"/>
        <rFont val="Noto Sans CJK SC"/>
        <family val="2"/>
      </rPr>
      <t>、</t>
    </r>
    <r>
      <rPr>
        <i/>
        <sz val="9"/>
        <color rgb="FF808080"/>
        <rFont val="Arial"/>
        <family val="2"/>
      </rPr>
      <t>28</t>
    </r>
    <r>
      <rPr>
        <i/>
        <sz val="9"/>
        <color rgb="FF808080"/>
        <rFont val="Noto Sans CJK SC"/>
        <family val="2"/>
      </rPr>
      <t>持平</t>
    </r>
  </si>
  <si>
    <r>
      <rPr>
        <i/>
        <sz val="9"/>
        <color rgb="FF808080"/>
        <rFont val="Noto Sans CJK SC"/>
        <family val="2"/>
      </rPr>
      <t>方法：</t>
    </r>
    <r>
      <rPr>
        <i/>
        <sz val="9"/>
        <color rgb="FF808080"/>
        <rFont val="Arial"/>
        <family val="2"/>
      </rPr>
      <t>CCL</t>
    </r>
    <r>
      <rPr>
        <i/>
        <sz val="9"/>
        <color rgb="FF808080"/>
        <rFont val="Noto Sans CJK SC"/>
        <family val="2"/>
      </rPr>
      <t>價格指數</t>
    </r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>板廠詢價</t>
    </r>
    <r>
      <rPr>
        <i/>
        <sz val="9"/>
        <color rgb="FF808080"/>
        <rFont val="Arial"/>
        <family val="2"/>
      </rPr>
      <t>)</t>
    </r>
    <r>
      <rPr>
        <i/>
        <sz val="9"/>
        <color rgb="FF808080"/>
        <rFont val="Noto Sans CJK SC"/>
        <family val="2"/>
      </rPr>
      <t>＋壓合工時折扣</t>
    </r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>建滔會議</t>
    </r>
    <r>
      <rPr>
        <i/>
        <sz val="9"/>
        <color rgb="FF808080"/>
        <rFont val="Arial"/>
        <family val="2"/>
      </rPr>
      <t>)</t>
    </r>
    <r>
      <rPr>
        <i/>
        <sz val="9"/>
        <color rgb="FF808080"/>
        <rFont val="Noto Sans CJK SC"/>
        <family val="2"/>
      </rPr>
      <t>＋逐月調價路徑</t>
    </r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>法說</t>
    </r>
    <r>
      <rPr>
        <i/>
        <sz val="9"/>
        <color rgb="FF808080"/>
        <rFont val="Arial"/>
        <family val="2"/>
      </rPr>
      <t>guidance)</t>
    </r>
    <r>
      <rPr>
        <i/>
        <sz val="9"/>
        <color rgb="FF808080"/>
        <rFont val="Noto Sans CJK SC"/>
        <family val="2"/>
      </rPr>
      <t>；兩檔完全相同標準</t>
    </r>
  </si>
  <si>
    <t>① 營收對照（億元）</t>
  </si>
  <si>
    <t>公司</t>
  </si>
  <si>
    <t>項目</t>
  </si>
  <si>
    <t>2026E</t>
  </si>
  <si>
    <t>2027E</t>
  </si>
  <si>
    <t>2028E</t>
  </si>
  <si>
    <t>26→27</t>
  </si>
  <si>
    <t>27→28</t>
  </si>
  <si>
    <r>
      <rPr>
        <b/>
        <sz val="10"/>
        <rFont val="Noto Sans CJK SC"/>
        <family val="2"/>
      </rPr>
      <t xml:space="preserve">聯茂 </t>
    </r>
    <r>
      <rPr>
        <b/>
        <sz val="10"/>
        <rFont val="Arial"/>
        <family val="2"/>
      </rPr>
      <t>6213</t>
    </r>
  </si>
  <si>
    <t>本模型營收</t>
  </si>
  <si>
    <r>
      <rPr>
        <b/>
        <sz val="10"/>
        <rFont val="Noto Sans CJK SC"/>
        <family val="2"/>
      </rPr>
      <t xml:space="preserve">台燿 </t>
    </r>
    <r>
      <rPr>
        <b/>
        <sz val="10"/>
        <rFont val="Arial"/>
        <family val="2"/>
      </rPr>
      <t>6274</t>
    </r>
  </si>
  <si>
    <t>（參考）法人共識營收</t>
  </si>
  <si>
    <t>聯茂未取得／台燿</t>
  </si>
  <si>
    <t>—</t>
  </si>
  <si>
    <r>
      <rPr>
        <i/>
        <sz val="9"/>
        <color rgb="FF808080"/>
        <rFont val="Noto Sans CJK SC"/>
        <family val="2"/>
      </rPr>
      <t xml:space="preserve">台燿共識營收 </t>
    </r>
    <r>
      <rPr>
        <i/>
        <sz val="9"/>
        <color rgb="FF808080"/>
        <rFont val="Arial"/>
        <family val="2"/>
      </rPr>
      <t>599.35</t>
    </r>
    <r>
      <rPr>
        <i/>
        <sz val="9"/>
        <color rgb="FF808080"/>
        <rFont val="Noto Sans CJK SC"/>
        <family val="2"/>
      </rPr>
      <t>／</t>
    </r>
    <r>
      <rPr>
        <i/>
        <sz val="9"/>
        <color rgb="FF808080"/>
        <rFont val="Arial"/>
        <family val="2"/>
      </rPr>
      <t>1,048.29</t>
    </r>
    <r>
      <rPr>
        <i/>
        <sz val="9"/>
        <color rgb="FF808080"/>
        <rFont val="Noto Sans CJK SC"/>
        <family val="2"/>
      </rPr>
      <t>／</t>
    </r>
    <r>
      <rPr>
        <i/>
        <sz val="9"/>
        <color rgb="FF808080"/>
        <rFont val="Arial"/>
        <family val="2"/>
      </rPr>
      <t xml:space="preserve">1,611.84 </t>
    </r>
    <r>
      <rPr>
        <i/>
        <sz val="9"/>
        <color rgb="FF808080"/>
        <rFont val="Noto Sans CJK SC"/>
        <family val="2"/>
      </rPr>
      <t>億</t>
    </r>
  </si>
  <si>
    <r>
      <rPr>
        <b/>
        <sz val="11"/>
        <color rgb="FFFFFFFF"/>
        <rFont val="Arial"/>
        <family val="2"/>
      </rPr>
      <t xml:space="preserve">② EPS </t>
    </r>
    <r>
      <rPr>
        <b/>
        <sz val="11"/>
        <color rgb="FFFFFFFF"/>
        <rFont val="Noto Sans CJK SC"/>
        <family val="2"/>
      </rPr>
      <t>對照（元）</t>
    </r>
  </si>
  <si>
    <t>說明</t>
  </si>
  <si>
    <r>
      <rPr>
        <b/>
        <sz val="10"/>
        <rFont val="Noto Sans CJK SC"/>
        <family val="2"/>
      </rPr>
      <t xml:space="preserve">本模型 </t>
    </r>
    <r>
      <rPr>
        <b/>
        <sz val="10"/>
        <rFont val="Arial"/>
        <family val="2"/>
      </rPr>
      <t>EPS</t>
    </r>
    <r>
      <rPr>
        <b/>
        <sz val="10"/>
        <rFont val="Noto Sans CJK SC"/>
        <family val="2"/>
      </rPr>
      <t>（</t>
    </r>
    <r>
      <rPr>
        <b/>
        <sz val="10"/>
        <rFont val="Arial"/>
        <family val="2"/>
      </rPr>
      <t>v6</t>
    </r>
    <r>
      <rPr>
        <b/>
        <sz val="10"/>
        <rFont val="Noto Sans CJK SC"/>
        <family val="2"/>
      </rPr>
      <t>基本情境）</t>
    </r>
  </si>
  <si>
    <r>
      <rPr>
        <sz val="11"/>
        <color theme="1"/>
        <rFont val="Noto Sans CJK SC"/>
        <family val="2"/>
      </rPr>
      <t xml:space="preserve">法人共識 </t>
    </r>
    <r>
      <rPr>
        <sz val="11"/>
        <color theme="1"/>
        <rFont val="Calibri"/>
        <family val="2"/>
        <charset val="1"/>
      </rPr>
      <t>EPS</t>
    </r>
  </si>
  <si>
    <r>
      <rPr>
        <i/>
        <sz val="9"/>
        <color rgb="FF808080"/>
        <rFont val="Noto Sans CJK SC"/>
        <family val="2"/>
      </rPr>
      <t xml:space="preserve">優分析 </t>
    </r>
    <r>
      <rPr>
        <i/>
        <sz val="9"/>
        <color rgb="FF808080"/>
        <rFont val="Arial"/>
        <family val="2"/>
      </rPr>
      <t>2026/07/10</t>
    </r>
  </si>
  <si>
    <r>
      <rPr>
        <b/>
        <sz val="10"/>
        <rFont val="Noto Sans CJK SC"/>
        <family val="2"/>
      </rPr>
      <t xml:space="preserve">差異 </t>
    </r>
    <r>
      <rPr>
        <b/>
        <sz val="10"/>
        <rFont val="Arial"/>
        <family val="2"/>
      </rPr>
      <t>%</t>
    </r>
  </si>
  <si>
    <r>
      <rPr>
        <i/>
        <sz val="9"/>
        <color rgb="FF808080"/>
        <rFont val="Noto Sans CJK SC"/>
        <family val="2"/>
      </rPr>
      <t>正</t>
    </r>
    <r>
      <rPr>
        <i/>
        <sz val="9"/>
        <color rgb="FF808080"/>
        <rFont val="Arial"/>
        <family val="2"/>
      </rPr>
      <t>=</t>
    </r>
    <r>
      <rPr>
        <i/>
        <sz val="9"/>
        <color rgb="FF808080"/>
        <rFont val="Noto Sans CJK SC"/>
        <family val="2"/>
      </rPr>
      <t>本模型高於共識</t>
    </r>
  </si>
  <si>
    <r>
      <rPr>
        <i/>
        <sz val="9"/>
        <color rgb="FF808080"/>
        <rFont val="Arial"/>
        <family val="2"/>
      </rPr>
      <t>v5</t>
    </r>
    <r>
      <rPr>
        <i/>
        <sz val="9"/>
        <color rgb="FF808080"/>
        <rFont val="Noto Sans CJK SC"/>
        <family val="2"/>
      </rPr>
      <t>版（</t>
    </r>
    <r>
      <rPr>
        <i/>
        <sz val="9"/>
        <color rgb="FF808080"/>
        <rFont val="Arial"/>
        <family val="2"/>
      </rPr>
      <t>M6+</t>
    </r>
    <r>
      <rPr>
        <i/>
        <sz val="9"/>
        <color rgb="FF808080"/>
        <rFont val="Noto Sans CJK SC"/>
        <family val="2"/>
      </rPr>
      <t>未填滿產能）</t>
    </r>
  </si>
  <si>
    <r>
      <rPr>
        <i/>
        <sz val="9"/>
        <color rgb="FF808080"/>
        <rFont val="Arial"/>
        <family val="2"/>
      </rPr>
      <t>v6</t>
    </r>
    <r>
      <rPr>
        <i/>
        <sz val="9"/>
        <color rgb="FF808080"/>
        <rFont val="Noto Sans CJK SC"/>
        <family val="2"/>
      </rPr>
      <t>將</t>
    </r>
    <r>
      <rPr>
        <i/>
        <sz val="9"/>
        <color rgb="FF808080"/>
        <rFont val="Arial"/>
        <family val="2"/>
      </rPr>
      <t>M7+</t>
    </r>
    <r>
      <rPr>
        <i/>
        <sz val="9"/>
        <color rgb="FF808080"/>
        <rFont val="Noto Sans CJK SC"/>
        <family val="2"/>
      </rPr>
      <t>填滿高階產能後之差異（台燿未變）</t>
    </r>
  </si>
  <si>
    <t>③ 關鍵假設與敏感度</t>
  </si>
  <si>
    <t>基本情境的核心設定</t>
  </si>
  <si>
    <r>
      <rPr>
        <sz val="11"/>
        <color theme="1"/>
        <rFont val="Calibri"/>
        <family val="2"/>
        <charset val="1"/>
      </rPr>
      <t>2027H2</t>
    </r>
    <r>
      <rPr>
        <sz val="11"/>
        <color theme="1"/>
        <rFont val="Noto Sans CJK SC"/>
        <family val="2"/>
      </rPr>
      <t>起</t>
    </r>
    <r>
      <rPr>
        <sz val="11"/>
        <color theme="1"/>
        <rFont val="Calibri"/>
        <family val="2"/>
        <charset val="1"/>
      </rPr>
      <t>M7+</t>
    </r>
    <r>
      <rPr>
        <sz val="11"/>
        <color theme="1"/>
        <rFont val="Noto Sans CJK SC"/>
        <family val="2"/>
      </rPr>
      <t>填滿高階線</t>
    </r>
    <r>
      <rPr>
        <sz val="11"/>
        <color theme="1"/>
        <rFont val="Calibri"/>
        <family val="2"/>
        <charset val="1"/>
      </rPr>
      <t>(M7 177.8→219.8</t>
    </r>
    <r>
      <rPr>
        <sz val="11"/>
        <color theme="1"/>
        <rFont val="Noto Sans CJK SC"/>
        <family val="2"/>
      </rPr>
      <t>萬張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月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M6</t>
    </r>
    <r>
      <rPr>
        <sz val="11"/>
        <color theme="1"/>
        <rFont val="Noto Sans CJK SC"/>
        <family val="2"/>
      </rPr>
      <t>削減至</t>
    </r>
    <r>
      <rPr>
        <sz val="11"/>
        <color theme="1"/>
        <rFont val="Calibri"/>
        <family val="2"/>
        <charset val="1"/>
      </rPr>
      <t>20→15</t>
    </r>
    <r>
      <rPr>
        <sz val="11"/>
        <color theme="1"/>
        <rFont val="Noto Sans CJK SC"/>
        <family val="2"/>
      </rPr>
      <t>萬張 ＋ 漲價延續至</t>
    </r>
    <r>
      <rPr>
        <sz val="11"/>
        <color theme="1"/>
        <rFont val="Calibri"/>
        <family val="2"/>
        <charset val="1"/>
      </rPr>
      <t>2027</t>
    </r>
  </si>
  <si>
    <r>
      <rPr>
        <sz val="11"/>
        <color theme="1"/>
        <rFont val="Noto Sans CJK SC"/>
        <family val="2"/>
      </rPr>
      <t>新增產能</t>
    </r>
    <r>
      <rPr>
        <sz val="11"/>
        <color theme="1"/>
        <rFont val="Calibri"/>
        <family val="2"/>
        <charset val="1"/>
      </rPr>
      <t>(235→430</t>
    </r>
    <r>
      <rPr>
        <sz val="11"/>
        <color theme="1"/>
        <rFont val="Noto Sans CJK SC"/>
        <family val="2"/>
      </rPr>
      <t>萬張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全數配置</t>
    </r>
    <r>
      <rPr>
        <sz val="11"/>
        <color theme="1"/>
        <rFont val="Calibri"/>
        <family val="2"/>
        <charset val="1"/>
      </rPr>
      <t xml:space="preserve">M7+ </t>
    </r>
    <r>
      <rPr>
        <sz val="11"/>
        <color theme="1"/>
        <rFont val="Noto Sans CJK SC"/>
        <family val="2"/>
      </rPr>
      <t>＋ 同一漲價路徑</t>
    </r>
  </si>
  <si>
    <t>換算關鍵參數</t>
  </si>
  <si>
    <r>
      <rPr>
        <sz val="11"/>
        <color theme="1"/>
        <rFont val="Noto Sans CJK SC"/>
        <family val="2"/>
      </rPr>
      <t xml:space="preserve">高階線壓合當量使用率 </t>
    </r>
    <r>
      <rPr>
        <sz val="11"/>
        <color theme="1"/>
        <rFont val="Calibri"/>
        <family val="2"/>
        <charset val="1"/>
      </rPr>
      <t>2026 55%→2027 83%→2028 95%(</t>
    </r>
    <r>
      <rPr>
        <sz val="11"/>
        <color theme="1"/>
        <rFont val="Noto Sans CJK SC"/>
        <family val="2"/>
      </rPr>
      <t>已逼近上限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</si>
  <si>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新增線每張當量</t>
    </r>
    <r>
      <rPr>
        <sz val="11"/>
        <color theme="1"/>
        <rFont val="Calibri"/>
        <family val="2"/>
        <charset val="1"/>
      </rPr>
      <t>2.20~2.45(vs</t>
    </r>
    <r>
      <rPr>
        <sz val="11"/>
        <color theme="1"/>
        <rFont val="Noto Sans CJK SC"/>
        <family val="2"/>
      </rPr>
      <t>現行</t>
    </r>
    <r>
      <rPr>
        <sz val="11"/>
        <color theme="1"/>
        <rFont val="Calibri"/>
        <family val="2"/>
        <charset val="1"/>
      </rPr>
      <t>1.401)</t>
    </r>
    <r>
      <rPr>
        <sz val="11"/>
        <color theme="1"/>
        <rFont val="Noto Sans CJK SC"/>
        <family val="2"/>
      </rPr>
      <t>，實產張數打</t>
    </r>
    <r>
      <rPr>
        <sz val="11"/>
        <color theme="1"/>
        <rFont val="Calibri"/>
        <family val="2"/>
        <charset val="1"/>
      </rPr>
      <t>36-43%</t>
    </r>
    <r>
      <rPr>
        <sz val="11"/>
        <color theme="1"/>
        <rFont val="Noto Sans CJK SC"/>
        <family val="2"/>
      </rPr>
      <t>折</t>
    </r>
  </si>
  <si>
    <t>★最脆弱假設</t>
  </si>
  <si>
    <r>
      <rPr>
        <sz val="11"/>
        <color theme="1"/>
        <rFont val="Noto Sans CJK SC"/>
        <family val="2"/>
      </rPr>
      <t>毛利率</t>
    </r>
    <r>
      <rPr>
        <sz val="11"/>
        <color theme="1"/>
        <rFont val="Calibri"/>
        <family val="2"/>
        <charset val="1"/>
      </rPr>
      <t>31-34.6%</t>
    </r>
    <r>
      <rPr>
        <sz val="11"/>
        <color theme="1"/>
        <rFont val="Noto Sans CJK SC"/>
        <family val="2"/>
      </rPr>
      <t>已超越產業紀錄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台光電</t>
    </r>
    <r>
      <rPr>
        <sz val="11"/>
        <color theme="1"/>
        <rFont val="Calibri"/>
        <family val="2"/>
        <charset val="1"/>
      </rPr>
      <t>29.42%)</t>
    </r>
    <r>
      <rPr>
        <sz val="11"/>
        <color theme="1"/>
        <rFont val="Noto Sans CJK SC"/>
        <family val="2"/>
      </rPr>
      <t>；封頂</t>
    </r>
    <r>
      <rPr>
        <sz val="11"/>
        <color theme="1"/>
        <rFont val="Calibri"/>
        <family val="2"/>
        <charset val="1"/>
      </rPr>
      <t>29.4%</t>
    </r>
    <r>
      <rPr>
        <sz val="11"/>
        <color theme="1"/>
        <rFont val="Noto Sans CJK SC"/>
        <family val="2"/>
      </rPr>
      <t>則</t>
    </r>
    <r>
      <rPr>
        <sz val="11"/>
        <color theme="1"/>
        <rFont val="Calibri"/>
        <family val="2"/>
        <charset val="1"/>
      </rPr>
      <t>EPS</t>
    </r>
    <r>
      <rPr>
        <sz val="11"/>
        <color theme="1"/>
        <rFont val="Noto Sans CJK SC"/>
        <family val="2"/>
      </rPr>
      <t>降</t>
    </r>
    <r>
      <rPr>
        <sz val="11"/>
        <color theme="1"/>
        <rFont val="Calibri"/>
        <family val="2"/>
        <charset val="1"/>
      </rPr>
      <t>12-15%</t>
    </r>
  </si>
  <si>
    <t>與公司口徑的張力</t>
  </si>
  <si>
    <r>
      <rPr>
        <sz val="11"/>
        <color theme="1"/>
        <rFont val="Calibri"/>
        <family val="2"/>
        <charset val="1"/>
      </rPr>
      <t>2026Q4</t>
    </r>
    <r>
      <rPr>
        <sz val="11"/>
        <color theme="1"/>
        <rFont val="Noto Sans CJK SC"/>
        <family val="2"/>
      </rPr>
      <t>仍為</t>
    </r>
    <r>
      <rPr>
        <sz val="11"/>
        <color theme="1"/>
        <rFont val="Calibri"/>
        <family val="2"/>
        <charset val="1"/>
      </rPr>
      <t>mPPO</t>
    </r>
    <r>
      <rPr>
        <sz val="11"/>
        <color theme="1"/>
        <rFont val="Noto Sans CJK SC"/>
        <family val="2"/>
      </rPr>
      <t>通路實績</t>
    </r>
    <r>
      <rPr>
        <sz val="11"/>
        <color theme="1"/>
        <rFont val="Calibri"/>
        <family val="2"/>
        <charset val="1"/>
      </rPr>
      <t>(M7 48.7</t>
    </r>
    <r>
      <rPr>
        <sz val="11"/>
        <color theme="1"/>
        <rFont val="Noto Sans CJK SC"/>
        <family val="2"/>
      </rPr>
      <t>萬張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2027</t>
    </r>
    <r>
      <rPr>
        <sz val="11"/>
        <color theme="1"/>
        <rFont val="Noto Sans CJK SC"/>
        <family val="2"/>
      </rPr>
      <t>起改為產能驅動</t>
    </r>
  </si>
  <si>
    <r>
      <rPr>
        <sz val="11"/>
        <color theme="1"/>
        <rFont val="Noto Sans CJK SC"/>
        <family val="2"/>
      </rPr>
      <t>無公司價格</t>
    </r>
    <r>
      <rPr>
        <sz val="11"/>
        <color theme="1"/>
        <rFont val="Calibri"/>
        <family val="2"/>
        <charset val="1"/>
      </rPr>
      <t>guidance</t>
    </r>
    <r>
      <rPr>
        <sz val="11"/>
        <color theme="1"/>
        <rFont val="Noto Sans CJK SC"/>
        <family val="2"/>
      </rPr>
      <t>，漲價路徑為套用產業路徑</t>
    </r>
  </si>
  <si>
    <t>產能是否撞頂</t>
  </si>
  <si>
    <r>
      <rPr>
        <sz val="11"/>
        <color theme="1"/>
        <rFont val="Calibri"/>
        <family val="2"/>
        <charset val="1"/>
      </rPr>
      <t>2028</t>
    </r>
    <r>
      <rPr>
        <sz val="11"/>
        <color theme="1"/>
        <rFont val="Noto Sans CJK SC"/>
        <family val="2"/>
      </rPr>
      <t>已用</t>
    </r>
    <r>
      <rPr>
        <sz val="11"/>
        <color theme="1"/>
        <rFont val="Calibri"/>
        <family val="2"/>
        <charset val="1"/>
      </rPr>
      <t>95%</t>
    </r>
    <r>
      <rPr>
        <sz val="11"/>
        <color theme="1"/>
        <rFont val="Noto Sans CJK SC"/>
        <family val="2"/>
      </rPr>
      <t>，撞頂。</t>
    </r>
    <r>
      <rPr>
        <sz val="11"/>
        <color theme="1"/>
        <rFont val="Calibri"/>
        <family val="2"/>
        <charset val="1"/>
      </rPr>
      <t>SpaceX</t>
    </r>
    <r>
      <rPr>
        <sz val="11"/>
        <color theme="1"/>
        <rFont val="Noto Sans CJK SC"/>
        <family val="2"/>
      </rPr>
      <t>訂單需排擠</t>
    </r>
    <r>
      <rPr>
        <sz val="11"/>
        <color theme="1"/>
        <rFont val="Calibri"/>
        <family val="2"/>
        <charset val="1"/>
      </rPr>
      <t>M6</t>
    </r>
    <r>
      <rPr>
        <sz val="11"/>
        <color theme="1"/>
        <rFont val="Noto Sans CJK SC"/>
        <family val="2"/>
      </rPr>
      <t>或等泰二廠</t>
    </r>
  </si>
  <si>
    <r>
      <rPr>
        <sz val="11"/>
        <color theme="1"/>
        <rFont val="Noto Sans CJK SC"/>
        <family val="2"/>
      </rPr>
      <t>新增產能已全數用於</t>
    </r>
    <r>
      <rPr>
        <sz val="11"/>
        <color theme="1"/>
        <rFont val="Calibri"/>
        <family val="2"/>
        <charset val="1"/>
      </rPr>
      <t>M7+</t>
    </r>
    <r>
      <rPr>
        <sz val="11"/>
        <color theme="1"/>
        <rFont val="Noto Sans CJK SC"/>
        <family val="2"/>
      </rPr>
      <t>，等同滿配</t>
    </r>
  </si>
  <si>
    <t>與共識的關係</t>
  </si>
  <si>
    <r>
      <rPr>
        <sz val="11"/>
        <color theme="1"/>
        <rFont val="Noto Sans CJK SC"/>
        <family val="2"/>
      </rPr>
      <t>遠高於共識（共識未計入</t>
    </r>
    <r>
      <rPr>
        <sz val="11"/>
        <color theme="1"/>
        <rFont val="Calibri"/>
        <family val="2"/>
        <charset val="1"/>
      </rPr>
      <t>mPPO</t>
    </r>
    <r>
      <rPr>
        <sz val="11"/>
        <color theme="1"/>
        <rFont val="Noto Sans CJK SC"/>
        <family val="2"/>
      </rPr>
      <t>放量與漲價延續）；</t>
    </r>
    <r>
      <rPr>
        <sz val="11"/>
        <color theme="1"/>
        <rFont val="Calibri"/>
        <family val="2"/>
        <charset val="1"/>
      </rPr>
      <t>SpaceX</t>
    </r>
    <r>
      <rPr>
        <sz val="11"/>
        <color theme="1"/>
        <rFont val="Noto Sans CJK SC"/>
        <family val="2"/>
      </rPr>
      <t>訂單仍為尚未計入的</t>
    </r>
    <r>
      <rPr>
        <sz val="11"/>
        <color theme="1"/>
        <rFont val="Calibri"/>
        <family val="2"/>
        <charset val="1"/>
      </rPr>
      <t>upside</t>
    </r>
  </si>
  <si>
    <r>
      <rPr>
        <sz val="11"/>
        <color theme="1"/>
        <rFont val="Calibri"/>
        <family val="2"/>
        <charset val="1"/>
      </rPr>
      <t>2027-28</t>
    </r>
    <r>
      <rPr>
        <sz val="11"/>
        <color theme="1"/>
        <rFont val="Noto Sans CJK SC"/>
        <family val="2"/>
      </rPr>
      <t>已超越共識；意即共識隱含『漲價</t>
    </r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</rPr>
      <t>年底即止』</t>
    </r>
  </si>
  <si>
    <t>④ 使用說明</t>
  </si>
  <si>
    <r>
      <rPr>
        <i/>
        <sz val="9"/>
        <color rgb="FF808080"/>
        <rFont val="Arial"/>
        <family val="2"/>
      </rPr>
      <t xml:space="preserve">• v3 </t>
    </r>
    <r>
      <rPr>
        <i/>
        <sz val="9"/>
        <color rgb="FF808080"/>
        <rFont val="Noto Sans CJK SC"/>
        <family val="2"/>
      </rPr>
      <t xml:space="preserve">依 </t>
    </r>
    <r>
      <rPr>
        <i/>
        <sz val="9"/>
        <color rgb="FF808080"/>
        <rFont val="Arial"/>
        <family val="2"/>
      </rPr>
      <t xml:space="preserve">Wallace </t>
    </r>
    <r>
      <rPr>
        <i/>
        <sz val="9"/>
        <color rgb="FF808080"/>
        <rFont val="Noto Sans CJK SC"/>
        <family val="2"/>
      </rPr>
      <t>指示，把「</t>
    </r>
    <r>
      <rPr>
        <i/>
        <sz val="9"/>
        <color rgb="FF808080"/>
        <rFont val="Arial"/>
        <family val="2"/>
      </rPr>
      <t xml:space="preserve">M7 </t>
    </r>
    <r>
      <rPr>
        <i/>
        <sz val="9"/>
        <color rgb="FF808080"/>
        <rFont val="Noto Sans CJK SC"/>
        <family val="2"/>
      </rPr>
      <t>放量」與「新增產能全高階」由模型外上檔改為基本情境。前版</t>
    </r>
    <r>
      <rPr>
        <i/>
        <sz val="9"/>
        <color rgb="FF808080"/>
        <rFont val="Arial"/>
        <family val="2"/>
      </rPr>
      <t>(v2)</t>
    </r>
    <r>
      <rPr>
        <i/>
        <sz val="9"/>
        <color rgb="FF808080"/>
        <rFont val="Noto Sans CJK SC"/>
        <family val="2"/>
      </rPr>
      <t>數字保留在②供對照。</t>
    </r>
  </si>
  <si>
    <r>
      <rPr>
        <i/>
        <sz val="9"/>
        <color rgb="FF808080"/>
        <rFont val="Noto Sans CJK SC"/>
        <family val="2"/>
      </rPr>
      <t xml:space="preserve">• 所有 </t>
    </r>
    <r>
      <rPr>
        <i/>
        <sz val="9"/>
        <color rgb="FF808080"/>
        <rFont val="Arial"/>
        <family val="2"/>
      </rPr>
      <t>EPS</t>
    </r>
    <r>
      <rPr>
        <i/>
        <sz val="9"/>
        <color rgb="FF808080"/>
        <rFont val="Noto Sans CJK SC"/>
        <family val="2"/>
      </rPr>
      <t xml:space="preserve">／營收為活公式，連結至兩張月度模型分頁；改月度分頁 </t>
    </r>
    <r>
      <rPr>
        <i/>
        <sz val="9"/>
        <color rgb="FF808080"/>
        <rFont val="Arial"/>
        <family val="2"/>
      </rPr>
      <t>row2(</t>
    </r>
    <r>
      <rPr>
        <i/>
        <sz val="9"/>
        <color rgb="FF808080"/>
        <rFont val="Noto Sans CJK SC"/>
        <family val="2"/>
      </rPr>
      <t>營收</t>
    </r>
    <r>
      <rPr>
        <i/>
        <sz val="9"/>
        <color rgb="FF808080"/>
        <rFont val="Arial"/>
        <family val="2"/>
      </rPr>
      <t xml:space="preserve">) </t>
    </r>
    <r>
      <rPr>
        <i/>
        <sz val="9"/>
        <color rgb="FF808080"/>
        <rFont val="Noto Sans CJK SC"/>
        <family val="2"/>
      </rPr>
      <t xml:space="preserve">或 </t>
    </r>
    <r>
      <rPr>
        <i/>
        <sz val="9"/>
        <color rgb="FF808080"/>
        <rFont val="Arial"/>
        <family val="2"/>
      </rPr>
      <t>row3(</t>
    </r>
    <r>
      <rPr>
        <i/>
        <sz val="9"/>
        <color rgb="FF808080"/>
        <rFont val="Noto Sans CJK SC"/>
        <family val="2"/>
      </rPr>
      <t>毛利率</t>
    </r>
    <r>
      <rPr>
        <i/>
        <sz val="9"/>
        <color rgb="FF808080"/>
        <rFont val="Arial"/>
        <family val="2"/>
      </rPr>
      <t>)</t>
    </r>
    <r>
      <rPr>
        <i/>
        <sz val="9"/>
        <color rgb="FF808080"/>
        <rFont val="Noto Sans CJK SC"/>
        <family val="2"/>
      </rPr>
      <t>，本表自動重算。</t>
    </r>
  </si>
  <si>
    <r>
      <rPr>
        <i/>
        <sz val="9"/>
        <color rgb="FF808080"/>
        <rFont val="Noto Sans CJK SC"/>
        <family val="2"/>
      </rPr>
      <t>• 「產品組合假設</t>
    </r>
    <r>
      <rPr>
        <i/>
        <sz val="9"/>
        <color rgb="FF808080"/>
        <rFont val="Arial"/>
        <family val="2"/>
      </rPr>
      <t>_M6toM9</t>
    </r>
    <r>
      <rPr>
        <i/>
        <sz val="9"/>
        <color rgb="FF808080"/>
        <rFont val="Noto Sans CJK SC"/>
        <family val="2"/>
      </rPr>
      <t>」分頁列出逐年各級距量占比／月出貨／</t>
    </r>
    <r>
      <rPr>
        <i/>
        <sz val="9"/>
        <color rgb="FF808080"/>
        <rFont val="Arial"/>
        <family val="2"/>
      </rPr>
      <t>ASP</t>
    </r>
    <r>
      <rPr>
        <i/>
        <sz val="9"/>
        <color rgb="FF808080"/>
        <rFont val="Noto Sans CJK SC"/>
        <family val="2"/>
      </rPr>
      <t>／年營收，並附實際值回填區。</t>
    </r>
  </si>
  <si>
    <r>
      <rPr>
        <i/>
        <sz val="9"/>
        <color rgb="FF808080"/>
        <rFont val="Arial"/>
        <family val="2"/>
      </rPr>
      <t xml:space="preserve">• 2026/01-06 </t>
    </r>
    <r>
      <rPr>
        <i/>
        <sz val="9"/>
        <color rgb="FF808080"/>
        <rFont val="Noto Sans CJK SC"/>
        <family val="2"/>
      </rPr>
      <t>營收為公告實際值；</t>
    </r>
    <r>
      <rPr>
        <i/>
        <sz val="9"/>
        <color rgb="FF808080"/>
        <rFont val="Arial"/>
        <family val="2"/>
      </rPr>
      <t>26Q1(</t>
    </r>
    <r>
      <rPr>
        <i/>
        <sz val="9"/>
        <color rgb="FF808080"/>
        <rFont val="Noto Sans CJK SC"/>
        <family val="2"/>
      </rPr>
      <t>聯茂</t>
    </r>
    <r>
      <rPr>
        <i/>
        <sz val="9"/>
        <color rgb="FF808080"/>
        <rFont val="Arial"/>
        <family val="2"/>
      </rPr>
      <t>)</t>
    </r>
    <r>
      <rPr>
        <i/>
        <sz val="9"/>
        <color rgb="FF808080"/>
        <rFont val="Noto Sans CJK SC"/>
        <family val="2"/>
      </rPr>
      <t>／</t>
    </r>
    <r>
      <rPr>
        <i/>
        <sz val="9"/>
        <color rgb="FF808080"/>
        <rFont val="Arial"/>
        <family val="2"/>
      </rPr>
      <t>26Q1(</t>
    </r>
    <r>
      <rPr>
        <i/>
        <sz val="9"/>
        <color rgb="FF808080"/>
        <rFont val="Noto Sans CJK SC"/>
        <family val="2"/>
      </rPr>
      <t>台燿</t>
    </r>
    <r>
      <rPr>
        <i/>
        <sz val="9"/>
        <color rgb="FF808080"/>
        <rFont val="Arial"/>
        <family val="2"/>
      </rPr>
      <t xml:space="preserve">) </t>
    </r>
    <r>
      <rPr>
        <i/>
        <sz val="9"/>
        <color rgb="FF808080"/>
        <rFont val="Noto Sans CJK SC"/>
        <family val="2"/>
      </rPr>
      <t>毛利率為財報實際。其餘為推估。</t>
    </r>
  </si>
  <si>
    <r>
      <rPr>
        <i/>
        <sz val="9"/>
        <color rgb="FF808080"/>
        <rFont val="Noto Sans CJK SC"/>
        <family val="2"/>
      </rPr>
      <t xml:space="preserve">• 本模型為情境版：推估參數佔比高，且兩家的最脆弱假設（聯茂樹脂分流、台燿毛利率天花板）各自可造成 </t>
    </r>
    <r>
      <rPr>
        <i/>
        <sz val="9"/>
        <color rgb="FF808080"/>
        <rFont val="Arial"/>
        <family val="2"/>
      </rPr>
      <t xml:space="preserve">12-18% </t>
    </r>
    <r>
      <rPr>
        <i/>
        <sz val="9"/>
        <color rgb="FF808080"/>
        <rFont val="Noto Sans CJK SC"/>
        <family val="2"/>
      </rPr>
      <t xml:space="preserve">的 </t>
    </r>
    <r>
      <rPr>
        <i/>
        <sz val="9"/>
        <color rgb="FF808080"/>
        <rFont val="Arial"/>
        <family val="2"/>
      </rPr>
      <t xml:space="preserve">EPS </t>
    </r>
    <r>
      <rPr>
        <i/>
        <sz val="9"/>
        <color rgb="FF808080"/>
        <rFont val="Noto Sans CJK SC"/>
        <family val="2"/>
      </rPr>
      <t>差異。</t>
    </r>
  </si>
  <si>
    <r>
      <rPr>
        <b/>
        <sz val="14"/>
        <color rgb="FF1A2540"/>
        <rFont val="Noto Sans CJK SC"/>
        <family val="2"/>
      </rPr>
      <t>聯茂／台燿｜</t>
    </r>
    <r>
      <rPr>
        <b/>
        <sz val="14"/>
        <color rgb="FF1A2540"/>
        <rFont val="Arial"/>
        <family val="2"/>
      </rPr>
      <t xml:space="preserve">M6~M9 </t>
    </r>
    <r>
      <rPr>
        <b/>
        <sz val="14"/>
        <color rgb="FF1A2540"/>
        <rFont val="Noto Sans CJK SC"/>
        <family val="2"/>
      </rPr>
      <t>出貨量與營收占比假設（</t>
    </r>
    <r>
      <rPr>
        <b/>
        <sz val="14"/>
        <color rgb="FF1A2540"/>
        <rFont val="Arial"/>
        <family val="2"/>
      </rPr>
      <t xml:space="preserve">v3 </t>
    </r>
    <r>
      <rPr>
        <b/>
        <sz val="14"/>
        <color rgb="FF1A2540"/>
        <rFont val="Noto Sans CJK SC"/>
        <family val="2"/>
      </rPr>
      <t>基本情境）</t>
    </r>
  </si>
  <si>
    <r>
      <rPr>
        <i/>
        <sz val="9"/>
        <color rgb="FF808080"/>
        <rFont val="Noto Sans CJK SC"/>
        <family val="2"/>
      </rPr>
      <t xml:space="preserve">報告日期 </t>
    </r>
    <r>
      <rPr>
        <i/>
        <sz val="9"/>
        <color rgb="FF808080"/>
        <rFont val="Arial"/>
        <family val="2"/>
      </rPr>
      <t>2026/07/25</t>
    </r>
    <r>
      <rPr>
        <i/>
        <sz val="9"/>
        <color rgb="FF808080"/>
        <rFont val="Noto Sans CJK SC"/>
        <family val="2"/>
      </rPr>
      <t>｜綠底</t>
    </r>
    <r>
      <rPr>
        <i/>
        <sz val="9"/>
        <color rgb="FF808080"/>
        <rFont val="Arial"/>
        <family val="2"/>
      </rPr>
      <t>=</t>
    </r>
    <r>
      <rPr>
        <i/>
        <sz val="9"/>
        <color rgb="FF808080"/>
        <rFont val="Noto Sans CJK SC"/>
        <family val="2"/>
      </rPr>
      <t>模型假設；黃底</t>
    </r>
    <r>
      <rPr>
        <i/>
        <sz val="9"/>
        <color rgb="FF808080"/>
        <rFont val="Arial"/>
        <family val="2"/>
      </rPr>
      <t>=</t>
    </r>
    <r>
      <rPr>
        <i/>
        <sz val="9"/>
        <color rgb="FF808080"/>
        <rFont val="Noto Sans CJK SC"/>
        <family val="2"/>
      </rPr>
      <t>請自行回填實際值</t>
    </r>
  </si>
  <si>
    <r>
      <rPr>
        <i/>
        <sz val="9"/>
        <color rgb="FF808080"/>
        <rFont val="Noto Sans CJK SC"/>
        <family val="2"/>
      </rPr>
      <t>價格指數</t>
    </r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>板廠詢價</t>
    </r>
    <r>
      <rPr>
        <i/>
        <sz val="9"/>
        <color rgb="FF808080"/>
        <rFont val="Arial"/>
        <family val="2"/>
      </rPr>
      <t>)</t>
    </r>
    <r>
      <rPr>
        <i/>
        <sz val="9"/>
        <color rgb="FF808080"/>
        <rFont val="Noto Sans CJK SC"/>
        <family val="2"/>
      </rPr>
      <t>：</t>
    </r>
    <r>
      <rPr>
        <i/>
        <sz val="9"/>
        <color rgb="FF808080"/>
        <rFont val="Arial"/>
        <family val="2"/>
      </rPr>
      <t>M4 0.75</t>
    </r>
    <r>
      <rPr>
        <i/>
        <sz val="9"/>
        <color rgb="FF808080"/>
        <rFont val="Noto Sans CJK SC"/>
        <family val="2"/>
      </rPr>
      <t>｜</t>
    </r>
    <r>
      <rPr>
        <i/>
        <sz val="9"/>
        <color rgb="FF808080"/>
        <rFont val="Arial"/>
        <family val="2"/>
      </rPr>
      <t>M6 1.00</t>
    </r>
    <r>
      <rPr>
        <i/>
        <sz val="9"/>
        <color rgb="FF808080"/>
        <rFont val="Noto Sans CJK SC"/>
        <family val="2"/>
      </rPr>
      <t>｜</t>
    </r>
    <r>
      <rPr>
        <i/>
        <sz val="9"/>
        <color rgb="FF808080"/>
        <rFont val="Arial"/>
        <family val="2"/>
      </rPr>
      <t>M7 1.30</t>
    </r>
    <r>
      <rPr>
        <i/>
        <sz val="9"/>
        <color rgb="FF808080"/>
        <rFont val="Noto Sans CJK SC"/>
        <family val="2"/>
      </rPr>
      <t>｜</t>
    </r>
    <r>
      <rPr>
        <i/>
        <sz val="9"/>
        <color rgb="FF808080"/>
        <rFont val="Arial"/>
        <family val="2"/>
      </rPr>
      <t>M7N 2.25</t>
    </r>
    <r>
      <rPr>
        <i/>
        <sz val="9"/>
        <color rgb="FF808080"/>
        <rFont val="Noto Sans CJK SC"/>
        <family val="2"/>
      </rPr>
      <t>｜</t>
    </r>
    <r>
      <rPr>
        <i/>
        <sz val="9"/>
        <color rgb="FF808080"/>
        <rFont val="Arial"/>
        <family val="2"/>
      </rPr>
      <t>M8 3.00</t>
    </r>
    <r>
      <rPr>
        <i/>
        <sz val="9"/>
        <color rgb="FF808080"/>
        <rFont val="Noto Sans CJK SC"/>
        <family val="2"/>
      </rPr>
      <t>｜</t>
    </r>
    <r>
      <rPr>
        <i/>
        <sz val="9"/>
        <color rgb="FF808080"/>
        <rFont val="Arial"/>
        <family val="2"/>
      </rPr>
      <t>M8U 5.00</t>
    </r>
    <r>
      <rPr>
        <i/>
        <sz val="9"/>
        <color rgb="FF808080"/>
        <rFont val="Noto Sans CJK SC"/>
        <family val="2"/>
      </rPr>
      <t>｜</t>
    </r>
    <r>
      <rPr>
        <i/>
        <sz val="9"/>
        <color rgb="FF808080"/>
        <rFont val="Arial"/>
        <family val="2"/>
      </rPr>
      <t>M9 17.00</t>
    </r>
    <r>
      <rPr>
        <i/>
        <sz val="9"/>
        <color rgb="FF808080"/>
        <rFont val="Noto Sans CJK SC"/>
        <family val="2"/>
      </rPr>
      <t>；</t>
    </r>
    <r>
      <rPr>
        <i/>
        <sz val="9"/>
        <color rgb="FF808080"/>
        <rFont val="Arial"/>
        <family val="2"/>
      </rPr>
      <t>FR4/M2 0.48</t>
    </r>
  </si>
  <si>
    <r>
      <rPr>
        <b/>
        <sz val="11"/>
        <color rgb="FFFFFFFF"/>
        <rFont val="Noto Sans CJK SC"/>
        <family val="2"/>
      </rPr>
      <t>【聯茂】</t>
    </r>
    <r>
      <rPr>
        <b/>
        <sz val="11"/>
        <color rgb="FFFFFFFF"/>
        <rFont val="Arial"/>
        <family val="2"/>
      </rPr>
      <t xml:space="preserve">v4 </t>
    </r>
    <r>
      <rPr>
        <b/>
        <sz val="11"/>
        <color rgb="FFFFFFFF"/>
        <rFont val="Noto Sans CJK SC"/>
        <family val="2"/>
      </rPr>
      <t>基本情境 （</t>
    </r>
    <r>
      <rPr>
        <b/>
        <sz val="11"/>
        <color rgb="FFFFFFFF"/>
        <rFont val="Arial"/>
        <family val="2"/>
      </rPr>
      <t>2026</t>
    </r>
    <r>
      <rPr>
        <b/>
        <sz val="11"/>
        <color rgb="FFFFFFFF"/>
        <rFont val="Noto Sans CJK SC"/>
        <family val="2"/>
      </rPr>
      <t>僅</t>
    </r>
    <r>
      <rPr>
        <b/>
        <sz val="11"/>
        <color rgb="FFFFFFFF"/>
        <rFont val="Arial"/>
        <family val="2"/>
      </rPr>
      <t>H2</t>
    </r>
    <r>
      <rPr>
        <b/>
        <sz val="11"/>
        <color rgb="FFFFFFFF"/>
        <rFont val="Noto Sans CJK SC"/>
        <family val="2"/>
      </rPr>
      <t>，因</t>
    </r>
    <r>
      <rPr>
        <b/>
        <sz val="11"/>
        <color rgb="FFFFFFFF"/>
        <rFont val="Arial"/>
        <family val="2"/>
      </rPr>
      <t>H1</t>
    </r>
    <r>
      <rPr>
        <b/>
        <sz val="11"/>
        <color rgb="FFFFFFFF"/>
        <rFont val="Noto Sans CJK SC"/>
        <family val="2"/>
      </rPr>
      <t>為實際值）</t>
    </r>
  </si>
  <si>
    <t>級距</t>
  </si>
  <si>
    <t>價格指數</t>
  </si>
  <si>
    <r>
      <rPr>
        <b/>
        <sz val="10"/>
        <rFont val="Arial"/>
        <family val="2"/>
      </rPr>
      <t xml:space="preserve">2026 </t>
    </r>
    <r>
      <rPr>
        <b/>
        <sz val="10"/>
        <rFont val="Noto Sans CJK SC"/>
        <family val="2"/>
      </rPr>
      <t>量占比</t>
    </r>
  </si>
  <si>
    <r>
      <rPr>
        <b/>
        <sz val="10"/>
        <rFont val="Arial"/>
        <family val="2"/>
      </rPr>
      <t xml:space="preserve">2026 </t>
    </r>
    <r>
      <rPr>
        <b/>
        <sz val="10"/>
        <rFont val="Noto Sans CJK SC"/>
        <family val="2"/>
      </rPr>
      <t>月出貨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萬張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</si>
  <si>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2026 ASP(</t>
    </r>
    <r>
      <rPr>
        <b/>
        <sz val="10"/>
        <rFont val="Noto Sans CJK SC"/>
        <family val="2"/>
      </rPr>
      <t>元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張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</si>
  <si>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2026 </t>
    </r>
    <r>
      <rPr>
        <b/>
        <sz val="10"/>
        <rFont val="Noto Sans CJK SC"/>
        <family val="2"/>
      </rPr>
      <t>營收占比</t>
    </r>
  </si>
  <si>
    <r>
      <rPr>
        <b/>
        <sz val="10"/>
        <rFont val="Arial"/>
        <family val="2"/>
      </rPr>
      <t xml:space="preserve">2027 </t>
    </r>
    <r>
      <rPr>
        <b/>
        <sz val="10"/>
        <rFont val="Noto Sans CJK SC"/>
        <family val="2"/>
      </rPr>
      <t>量占比</t>
    </r>
  </si>
  <si>
    <r>
      <rPr>
        <b/>
        <sz val="10"/>
        <rFont val="Arial"/>
        <family val="2"/>
      </rPr>
      <t xml:space="preserve">2027 </t>
    </r>
    <r>
      <rPr>
        <b/>
        <sz val="10"/>
        <rFont val="Noto Sans CJK SC"/>
        <family val="2"/>
      </rPr>
      <t>月出貨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萬張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</si>
  <si>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2027 ASP(</t>
    </r>
    <r>
      <rPr>
        <b/>
        <sz val="10"/>
        <rFont val="Noto Sans CJK SC"/>
        <family val="2"/>
      </rPr>
      <t>元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張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</si>
  <si>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2027 </t>
    </r>
    <r>
      <rPr>
        <b/>
        <sz val="10"/>
        <rFont val="Noto Sans CJK SC"/>
        <family val="2"/>
      </rPr>
      <t>營收占比</t>
    </r>
  </si>
  <si>
    <r>
      <rPr>
        <b/>
        <sz val="10"/>
        <rFont val="Arial"/>
        <family val="2"/>
      </rPr>
      <t xml:space="preserve">2028 </t>
    </r>
    <r>
      <rPr>
        <b/>
        <sz val="10"/>
        <rFont val="Noto Sans CJK SC"/>
        <family val="2"/>
      </rPr>
      <t>量占比</t>
    </r>
  </si>
  <si>
    <r>
      <rPr>
        <b/>
        <sz val="10"/>
        <rFont val="Arial"/>
        <family val="2"/>
      </rPr>
      <t xml:space="preserve">2028 </t>
    </r>
    <r>
      <rPr>
        <b/>
        <sz val="10"/>
        <rFont val="Noto Sans CJK SC"/>
        <family val="2"/>
      </rPr>
      <t>月出貨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萬張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</si>
  <si>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2028 ASP(</t>
    </r>
    <r>
      <rPr>
        <b/>
        <sz val="10"/>
        <rFont val="Noto Sans CJK SC"/>
        <family val="2"/>
      </rPr>
      <t>元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張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</si>
  <si>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2028 </t>
    </r>
    <r>
      <rPr>
        <b/>
        <sz val="10"/>
        <rFont val="Noto Sans CJK SC"/>
        <family val="2"/>
      </rPr>
      <t>營收占比</t>
    </r>
  </si>
  <si>
    <t>FR4/M2</t>
  </si>
  <si>
    <t>M4</t>
  </si>
  <si>
    <t>M6</t>
  </si>
  <si>
    <t>M7</t>
  </si>
  <si>
    <t>M7N</t>
  </si>
  <si>
    <t>M8</t>
  </si>
  <si>
    <t>M8U</t>
  </si>
  <si>
    <t>M9</t>
  </si>
  <si>
    <r>
      <rPr>
        <b/>
        <sz val="10"/>
        <color rgb="FF1A2540"/>
        <rFont val="Arial"/>
        <family val="2"/>
      </rPr>
      <t xml:space="preserve">M6+ </t>
    </r>
    <r>
      <rPr>
        <b/>
        <sz val="10"/>
        <color rgb="FF1A2540"/>
        <rFont val="Noto Sans CJK SC"/>
        <family val="2"/>
      </rPr>
      <t>合計</t>
    </r>
  </si>
  <si>
    <r>
      <rPr>
        <b/>
        <sz val="11"/>
        <color rgb="FFFFFFFF"/>
        <rFont val="Noto Sans CJK SC"/>
        <family val="2"/>
      </rPr>
      <t>【台燿】</t>
    </r>
    <r>
      <rPr>
        <b/>
        <sz val="11"/>
        <color rgb="FFFFFFFF"/>
        <rFont val="Arial"/>
        <family val="2"/>
      </rPr>
      <t xml:space="preserve">v4 </t>
    </r>
    <r>
      <rPr>
        <b/>
        <sz val="11"/>
        <color rgb="FFFFFFFF"/>
        <rFont val="Noto Sans CJK SC"/>
        <family val="2"/>
      </rPr>
      <t>基本情境 （</t>
    </r>
    <r>
      <rPr>
        <b/>
        <sz val="11"/>
        <color rgb="FFFFFFFF"/>
        <rFont val="Arial"/>
        <family val="2"/>
      </rPr>
      <t>2026</t>
    </r>
    <r>
      <rPr>
        <b/>
        <sz val="11"/>
        <color rgb="FFFFFFFF"/>
        <rFont val="Noto Sans CJK SC"/>
        <family val="2"/>
      </rPr>
      <t>僅</t>
    </r>
    <r>
      <rPr>
        <b/>
        <sz val="11"/>
        <color rgb="FFFFFFFF"/>
        <rFont val="Arial"/>
        <family val="2"/>
      </rPr>
      <t>H2</t>
    </r>
    <r>
      <rPr>
        <b/>
        <sz val="11"/>
        <color rgb="FFFFFFFF"/>
        <rFont val="Noto Sans CJK SC"/>
        <family val="2"/>
      </rPr>
      <t>，因</t>
    </r>
    <r>
      <rPr>
        <b/>
        <sz val="11"/>
        <color rgb="FFFFFFFF"/>
        <rFont val="Arial"/>
        <family val="2"/>
      </rPr>
      <t>H1</t>
    </r>
    <r>
      <rPr>
        <b/>
        <sz val="11"/>
        <color rgb="FFFFFFFF"/>
        <rFont val="Noto Sans CJK SC"/>
        <family val="2"/>
      </rPr>
      <t>為實際值）</t>
    </r>
  </si>
  <si>
    <t>【實際值回填區】季報／法說公布後填此區</t>
  </si>
  <si>
    <t>期間</t>
  </si>
  <si>
    <r>
      <rPr>
        <b/>
        <sz val="10"/>
        <rFont val="Arial"/>
        <family val="2"/>
      </rPr>
      <t>M6+</t>
    </r>
    <r>
      <rPr>
        <b/>
        <sz val="10"/>
        <rFont val="Noto Sans CJK SC"/>
        <family val="2"/>
      </rPr>
      <t>量占比</t>
    </r>
  </si>
  <si>
    <r>
      <rPr>
        <b/>
        <sz val="10"/>
        <rFont val="Arial"/>
        <family val="2"/>
      </rPr>
      <t>M6+</t>
    </r>
    <r>
      <rPr>
        <b/>
        <sz val="10"/>
        <rFont val="Noto Sans CJK SC"/>
        <family val="2"/>
      </rPr>
      <t>營收占比</t>
    </r>
  </si>
  <si>
    <r>
      <rPr>
        <b/>
        <sz val="10"/>
        <rFont val="Arial"/>
        <family val="2"/>
      </rPr>
      <t>M7</t>
    </r>
    <r>
      <rPr>
        <b/>
        <sz val="10"/>
        <rFont val="Noto Sans CJK SC"/>
        <family val="2"/>
      </rPr>
      <t>營收占比</t>
    </r>
  </si>
  <si>
    <r>
      <rPr>
        <b/>
        <sz val="10"/>
        <rFont val="Arial"/>
        <family val="2"/>
      </rPr>
      <t>M8</t>
    </r>
    <r>
      <rPr>
        <b/>
        <sz val="10"/>
        <rFont val="Noto Sans CJK SC"/>
        <family val="2"/>
      </rPr>
      <t>營收占比</t>
    </r>
  </si>
  <si>
    <r>
      <rPr>
        <b/>
        <sz val="10"/>
        <rFont val="Arial"/>
        <family val="2"/>
      </rPr>
      <t>M9</t>
    </r>
    <r>
      <rPr>
        <b/>
        <sz val="10"/>
        <rFont val="Noto Sans CJK SC"/>
        <family val="2"/>
      </rPr>
      <t>是否量產</t>
    </r>
  </si>
  <si>
    <r>
      <rPr>
        <b/>
        <sz val="10"/>
        <rFont val="Arial"/>
        <family val="2"/>
      </rPr>
      <t>blended ASP(</t>
    </r>
    <r>
      <rPr>
        <b/>
        <sz val="10"/>
        <rFont val="Noto Sans CJK SC"/>
        <family val="2"/>
      </rPr>
      <t>季營收</t>
    </r>
    <r>
      <rPr>
        <b/>
        <sz val="10"/>
        <rFont val="Arial"/>
        <family val="2"/>
      </rPr>
      <t>÷</t>
    </r>
    <r>
      <rPr>
        <b/>
        <sz val="10"/>
        <rFont val="Noto Sans CJK SC"/>
        <family val="2"/>
      </rPr>
      <t>季產出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</si>
  <si>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mPPO</t>
    </r>
    <r>
      <rPr>
        <b/>
        <sz val="10"/>
        <rFont val="Noto Sans CJK SC"/>
        <family val="2"/>
      </rPr>
      <t>叫貨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噸</t>
    </r>
    <r>
      <rPr>
        <b/>
        <sz val="10"/>
        <rFont val="Arial"/>
        <family val="2"/>
      </rPr>
      <t>)</t>
    </r>
  </si>
  <si>
    <t>備註</t>
  </si>
  <si>
    <t>聯茂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</si>
  <si>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</si>
  <si>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</si>
  <si>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</si>
  <si>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</si>
  <si>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</si>
  <si>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</si>
  <si>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</si>
  <si>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</si>
  <si>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</si>
  <si>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</si>
  <si>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台燿</t>
  </si>
  <si>
    <t>【判讀說明】</t>
  </si>
  <si>
    <r>
      <rPr>
        <i/>
        <sz val="9"/>
        <color rgb="FF808080"/>
        <rFont val="Arial"/>
        <family val="2"/>
      </rPr>
      <t xml:space="preserve">• v6 </t>
    </r>
    <r>
      <rPr>
        <i/>
        <sz val="9"/>
        <color rgb="FF808080"/>
        <rFont val="Noto Sans CJK SC"/>
        <family val="2"/>
      </rPr>
      <t>已把「</t>
    </r>
    <r>
      <rPr>
        <i/>
        <sz val="9"/>
        <color rgb="FF808080"/>
        <rFont val="Arial"/>
        <family val="2"/>
      </rPr>
      <t>M7+</t>
    </r>
    <r>
      <rPr>
        <i/>
        <sz val="9"/>
        <color rgb="FF808080"/>
        <rFont val="Noto Sans CJK SC"/>
        <family val="2"/>
      </rPr>
      <t>填滿高階產能」與「漲價延續至</t>
    </r>
    <r>
      <rPr>
        <i/>
        <sz val="9"/>
        <color rgb="FF808080"/>
        <rFont val="Arial"/>
        <family val="2"/>
      </rPr>
      <t>2027</t>
    </r>
    <r>
      <rPr>
        <i/>
        <sz val="9"/>
        <color rgb="FF808080"/>
        <rFont val="Noto Sans CJK SC"/>
        <family val="2"/>
      </rPr>
      <t xml:space="preserve">」同時納入基本情境：聯茂 </t>
    </r>
    <r>
      <rPr>
        <i/>
        <sz val="9"/>
        <color rgb="FF808080"/>
        <rFont val="Arial"/>
        <family val="2"/>
      </rPr>
      <t xml:space="preserve">M7 </t>
    </r>
    <r>
      <rPr>
        <i/>
        <sz val="9"/>
        <color rgb="FF808080"/>
        <rFont val="Noto Sans CJK SC"/>
        <family val="2"/>
      </rPr>
      <t xml:space="preserve">由 </t>
    </r>
    <r>
      <rPr>
        <i/>
        <sz val="9"/>
        <color rgb="FF808080"/>
        <rFont val="Arial"/>
        <family val="2"/>
      </rPr>
      <t xml:space="preserve">2026H1 </t>
    </r>
    <r>
      <rPr>
        <i/>
        <sz val="9"/>
        <color rgb="FF808080"/>
        <rFont val="Noto Sans CJK SC"/>
        <family val="2"/>
      </rPr>
      <t xml:space="preserve">約 </t>
    </r>
    <r>
      <rPr>
        <i/>
        <sz val="9"/>
        <color rgb="FF808080"/>
        <rFont val="Arial"/>
        <family val="2"/>
      </rPr>
      <t xml:space="preserve">10 </t>
    </r>
    <r>
      <rPr>
        <i/>
        <sz val="9"/>
        <color rgb="FF808080"/>
        <rFont val="Noto Sans CJK SC"/>
        <family val="2"/>
      </rPr>
      <t>萬張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 xml:space="preserve">月 → </t>
    </r>
    <r>
      <rPr>
        <i/>
        <sz val="9"/>
        <color rgb="FF808080"/>
        <rFont val="Arial"/>
        <family val="2"/>
      </rPr>
      <t xml:space="preserve">2026Q4 </t>
    </r>
    <r>
      <rPr>
        <i/>
        <sz val="9"/>
        <color rgb="FF808080"/>
        <rFont val="Noto Sans CJK SC"/>
        <family val="2"/>
      </rPr>
      <t xml:space="preserve">起 </t>
    </r>
    <r>
      <rPr>
        <i/>
        <sz val="9"/>
        <color rgb="FF808080"/>
        <rFont val="Arial"/>
        <family val="2"/>
      </rPr>
      <t xml:space="preserve">48.7 </t>
    </r>
    <r>
      <rPr>
        <i/>
        <sz val="9"/>
        <color rgb="FF808080"/>
        <rFont val="Noto Sans CJK SC"/>
        <family val="2"/>
      </rPr>
      <t>萬張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月（交聯茂</t>
    </r>
    <r>
      <rPr>
        <i/>
        <sz val="9"/>
        <color rgb="FF808080"/>
        <rFont val="Arial"/>
        <family val="2"/>
      </rPr>
      <t>mPPO 100</t>
    </r>
    <r>
      <rPr>
        <i/>
        <sz val="9"/>
        <color rgb="FF808080"/>
        <rFont val="Noto Sans CJK SC"/>
        <family val="2"/>
      </rPr>
      <t>噸</t>
    </r>
    <r>
      <rPr>
        <i/>
        <sz val="9"/>
        <color rgb="FF808080"/>
        <rFont val="Arial"/>
        <family val="2"/>
      </rPr>
      <t>×55%÷0.113kg</t>
    </r>
    <r>
      <rPr>
        <i/>
        <sz val="9"/>
        <color rgb="FF808080"/>
        <rFont val="Noto Sans CJK SC"/>
        <family val="2"/>
      </rPr>
      <t xml:space="preserve">）；台燿新增產能全數 </t>
    </r>
    <r>
      <rPr>
        <i/>
        <sz val="9"/>
        <color rgb="FF808080"/>
        <rFont val="Arial"/>
        <family val="2"/>
      </rPr>
      <t>M7+</t>
    </r>
    <r>
      <rPr>
        <i/>
        <sz val="9"/>
        <color rgb="FF808080"/>
        <rFont val="Noto Sans CJK SC"/>
        <family val="2"/>
      </rPr>
      <t>。</t>
    </r>
  </si>
  <si>
    <r>
      <rPr>
        <i/>
        <sz val="9"/>
        <color rgb="FF808080"/>
        <rFont val="Noto Sans CJK SC"/>
        <family val="2"/>
      </rPr>
      <t>• ★聯茂最關鍵參數：</t>
    </r>
    <r>
      <rPr>
        <i/>
        <sz val="9"/>
        <color rgb="FF808080"/>
        <rFont val="Arial"/>
        <family val="2"/>
      </rPr>
      <t xml:space="preserve">mPPO </t>
    </r>
    <r>
      <rPr>
        <i/>
        <sz val="9"/>
        <color rgb="FF808080"/>
        <rFont val="Noto Sans CJK SC"/>
        <family val="2"/>
      </rPr>
      <t xml:space="preserve">流向 </t>
    </r>
    <r>
      <rPr>
        <i/>
        <sz val="9"/>
        <color rgb="FF808080"/>
        <rFont val="Arial"/>
        <family val="2"/>
      </rPr>
      <t xml:space="preserve">CCL </t>
    </r>
    <r>
      <rPr>
        <i/>
        <sz val="9"/>
        <color rgb="FF808080"/>
        <rFont val="Noto Sans CJK SC"/>
        <family val="2"/>
      </rPr>
      <t xml:space="preserve">之比例（本版 </t>
    </r>
    <r>
      <rPr>
        <i/>
        <sz val="9"/>
        <color rgb="FF808080"/>
        <rFont val="Arial"/>
        <family val="2"/>
      </rPr>
      <t>55%</t>
    </r>
    <r>
      <rPr>
        <i/>
        <sz val="9"/>
        <color rgb="FF808080"/>
        <rFont val="Noto Sans CJK SC"/>
        <family val="2"/>
      </rPr>
      <t xml:space="preserve">）。若為 </t>
    </r>
    <r>
      <rPr>
        <i/>
        <sz val="9"/>
        <color rgb="FF808080"/>
        <rFont val="Arial"/>
        <family val="2"/>
      </rPr>
      <t>31%</t>
    </r>
    <r>
      <rPr>
        <i/>
        <sz val="9"/>
        <color rgb="FF808080"/>
        <rFont val="Noto Sans CJK SC"/>
        <family val="2"/>
      </rPr>
      <t>（</t>
    </r>
    <r>
      <rPr>
        <i/>
        <sz val="9"/>
        <color rgb="FF808080"/>
        <rFont val="Arial"/>
        <family val="2"/>
      </rPr>
      <t xml:space="preserve">PP </t>
    </r>
    <r>
      <rPr>
        <i/>
        <sz val="9"/>
        <color rgb="FF808080"/>
        <rFont val="Noto Sans CJK SC"/>
        <family val="2"/>
      </rPr>
      <t xml:space="preserve">吃掉 </t>
    </r>
    <r>
      <rPr>
        <i/>
        <sz val="9"/>
        <color rgb="FF808080"/>
        <rFont val="Arial"/>
        <family val="2"/>
      </rPr>
      <t>69%</t>
    </r>
    <r>
      <rPr>
        <i/>
        <sz val="9"/>
        <color rgb="FF808080"/>
        <rFont val="Noto Sans CJK SC"/>
        <family val="2"/>
      </rPr>
      <t>），</t>
    </r>
    <r>
      <rPr>
        <i/>
        <sz val="9"/>
        <color rgb="FF808080"/>
        <rFont val="Arial"/>
        <family val="2"/>
      </rPr>
      <t xml:space="preserve">M7 </t>
    </r>
    <r>
      <rPr>
        <i/>
        <sz val="9"/>
        <color rgb="FF808080"/>
        <rFont val="Noto Sans CJK SC"/>
        <family val="2"/>
      </rPr>
      <t xml:space="preserve">降至 </t>
    </r>
    <r>
      <rPr>
        <i/>
        <sz val="9"/>
        <color rgb="FF808080"/>
        <rFont val="Arial"/>
        <family val="2"/>
      </rPr>
      <t xml:space="preserve">27.4 </t>
    </r>
    <r>
      <rPr>
        <i/>
        <sz val="9"/>
        <color rgb="FF808080"/>
        <rFont val="Noto Sans CJK SC"/>
        <family val="2"/>
      </rPr>
      <t>萬張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月，</t>
    </r>
    <r>
      <rPr>
        <i/>
        <sz val="9"/>
        <color rgb="FF808080"/>
        <rFont val="Arial"/>
        <family val="2"/>
      </rPr>
      <t xml:space="preserve">EPS </t>
    </r>
    <r>
      <rPr>
        <i/>
        <sz val="9"/>
        <color rgb="FF808080"/>
        <rFont val="Noto Sans CJK SC"/>
        <family val="2"/>
      </rPr>
      <t xml:space="preserve">約 </t>
    </r>
    <r>
      <rPr>
        <i/>
        <sz val="9"/>
        <color rgb="FF808080"/>
        <rFont val="Arial"/>
        <family val="2"/>
      </rPr>
      <t>-25%</t>
    </r>
    <r>
      <rPr>
        <i/>
        <sz val="9"/>
        <color rgb="FF808080"/>
        <rFont val="Noto Sans CJK SC"/>
        <family val="2"/>
      </rPr>
      <t>。</t>
    </r>
    <r>
      <rPr>
        <i/>
        <sz val="9"/>
        <color rgb="FF808080"/>
        <rFont val="Arial"/>
        <family val="2"/>
      </rPr>
      <t xml:space="preserve">PP </t>
    </r>
    <r>
      <rPr>
        <i/>
        <sz val="9"/>
        <color rgb="FF808080"/>
        <rFont val="Noto Sans CJK SC"/>
        <family val="2"/>
      </rPr>
      <t xml:space="preserve">樹脂含量 </t>
    </r>
    <r>
      <rPr>
        <i/>
        <sz val="9"/>
        <color rgb="FF808080"/>
        <rFont val="Arial"/>
        <family val="2"/>
      </rPr>
      <t xml:space="preserve">RC72-75% </t>
    </r>
    <r>
      <rPr>
        <i/>
        <sz val="9"/>
        <color rgb="FF808080"/>
        <rFont val="Noto Sans CJK SC"/>
        <family val="2"/>
      </rPr>
      <t>遠高於基板核心，此區間物理上皆合理。</t>
    </r>
  </si>
  <si>
    <r>
      <rPr>
        <i/>
        <sz val="9"/>
        <color rgb="FF808080"/>
        <rFont val="Noto Sans CJK SC"/>
        <family val="2"/>
      </rPr>
      <t xml:space="preserve">• ★台燿最關鍵參數：毛利率。本版 </t>
    </r>
    <r>
      <rPr>
        <i/>
        <sz val="9"/>
        <color rgb="FF808080"/>
        <rFont val="Arial"/>
        <family val="2"/>
      </rPr>
      <t xml:space="preserve">2027-28 </t>
    </r>
    <r>
      <rPr>
        <i/>
        <sz val="9"/>
        <color rgb="FF808080"/>
        <rFont val="Noto Sans CJK SC"/>
        <family val="2"/>
      </rPr>
      <t xml:space="preserve">給 </t>
    </r>
    <r>
      <rPr>
        <i/>
        <sz val="9"/>
        <color rgb="FF808080"/>
        <rFont val="Arial"/>
        <family val="2"/>
      </rPr>
      <t>31-34.6%</t>
    </r>
    <r>
      <rPr>
        <i/>
        <sz val="9"/>
        <color rgb="FF808080"/>
        <rFont val="Noto Sans CJK SC"/>
        <family val="2"/>
      </rPr>
      <t xml:space="preserve">，已超越全產業最高（台光電 </t>
    </r>
    <r>
      <rPr>
        <i/>
        <sz val="9"/>
        <color rgb="FF808080"/>
        <rFont val="Arial"/>
        <family val="2"/>
      </rPr>
      <t>29.42%</t>
    </r>
    <r>
      <rPr>
        <i/>
        <sz val="9"/>
        <color rgb="FF808080"/>
        <rFont val="Noto Sans CJK SC"/>
        <family val="2"/>
      </rPr>
      <t xml:space="preserve">）。若封頂於 </t>
    </r>
    <r>
      <rPr>
        <i/>
        <sz val="9"/>
        <color rgb="FF808080"/>
        <rFont val="Arial"/>
        <family val="2"/>
      </rPr>
      <t>29.4%</t>
    </r>
    <r>
      <rPr>
        <i/>
        <sz val="9"/>
        <color rgb="FF808080"/>
        <rFont val="Noto Sans CJK SC"/>
        <family val="2"/>
      </rPr>
      <t>，</t>
    </r>
    <r>
      <rPr>
        <i/>
        <sz val="9"/>
        <color rgb="FF808080"/>
        <rFont val="Arial"/>
        <family val="2"/>
      </rPr>
      <t xml:space="preserve">EPS </t>
    </r>
    <r>
      <rPr>
        <i/>
        <sz val="9"/>
        <color rgb="FF808080"/>
        <rFont val="Noto Sans CJK SC"/>
        <family val="2"/>
      </rPr>
      <t xml:space="preserve">降 </t>
    </r>
    <r>
      <rPr>
        <i/>
        <sz val="9"/>
        <color rgb="FF808080"/>
        <rFont val="Arial"/>
        <family val="2"/>
      </rPr>
      <t>12-15%</t>
    </r>
    <r>
      <rPr>
        <i/>
        <sz val="9"/>
        <color rgb="FF808080"/>
        <rFont val="Noto Sans CJK SC"/>
        <family val="2"/>
      </rPr>
      <t>。</t>
    </r>
  </si>
  <si>
    <r>
      <rPr>
        <i/>
        <sz val="9"/>
        <color rgb="FF808080"/>
        <rFont val="Noto Sans CJK SC"/>
        <family val="2"/>
      </rPr>
      <t xml:space="preserve">• 回填時最快的驗證欄是 </t>
    </r>
    <r>
      <rPr>
        <i/>
        <sz val="9"/>
        <color rgb="FF808080"/>
        <rFont val="Arial"/>
        <family val="2"/>
      </rPr>
      <t>blended ASP</t>
    </r>
    <r>
      <rPr>
        <i/>
        <sz val="9"/>
        <color rgb="FF808080"/>
        <rFont val="Noto Sans CJK SC"/>
        <family val="2"/>
      </rPr>
      <t>（季營收</t>
    </r>
    <r>
      <rPr>
        <i/>
        <sz val="9"/>
        <color rgb="FF808080"/>
        <rFont val="Arial"/>
        <family val="2"/>
      </rPr>
      <t>÷</t>
    </r>
    <r>
      <rPr>
        <i/>
        <sz val="9"/>
        <color rgb="FF808080"/>
        <rFont val="Noto Sans CJK SC"/>
        <family val="2"/>
      </rPr>
      <t xml:space="preserve">季產出）與 </t>
    </r>
    <r>
      <rPr>
        <i/>
        <sz val="9"/>
        <color rgb="FF808080"/>
        <rFont val="Arial"/>
        <family val="2"/>
      </rPr>
      <t xml:space="preserve">mPPO </t>
    </r>
    <r>
      <rPr>
        <i/>
        <sz val="9"/>
        <color rgb="FF808080"/>
        <rFont val="Noto Sans CJK SC"/>
        <family val="2"/>
      </rPr>
      <t xml:space="preserve">叫貨量（噸，交聯茂總量口徑）——前者不需公司揭露組合就能算，後者是 </t>
    </r>
    <r>
      <rPr>
        <i/>
        <sz val="9"/>
        <color rgb="FF808080"/>
        <rFont val="Arial"/>
        <family val="2"/>
      </rPr>
      <t xml:space="preserve">M7 </t>
    </r>
    <r>
      <rPr>
        <i/>
        <sz val="9"/>
        <color rgb="FF808080"/>
        <rFont val="Noto Sans CJK SC"/>
        <family val="2"/>
      </rPr>
      <t>放量最早的領先指標。</t>
    </r>
  </si>
  <si>
    <r>
      <rPr>
        <i/>
        <sz val="9"/>
        <color rgb="FF808080"/>
        <rFont val="Noto Sans CJK SC"/>
        <family val="2"/>
      </rPr>
      <t xml:space="preserve">• ★尚未計入的 </t>
    </r>
    <r>
      <rPr>
        <i/>
        <sz val="9"/>
        <color rgb="FF808080"/>
        <rFont val="Arial"/>
        <family val="2"/>
      </rPr>
      <t>upside</t>
    </r>
    <r>
      <rPr>
        <i/>
        <sz val="9"/>
        <color rgb="FF808080"/>
        <rFont val="Noto Sans CJK SC"/>
        <family val="2"/>
      </rPr>
      <t>：</t>
    </r>
    <r>
      <rPr>
        <i/>
        <sz val="9"/>
        <color rgb="FF808080"/>
        <rFont val="Arial"/>
        <family val="2"/>
      </rPr>
      <t xml:space="preserve">2027 </t>
    </r>
    <r>
      <rPr>
        <i/>
        <sz val="9"/>
        <color rgb="FF808080"/>
        <rFont val="Noto Sans CJK SC"/>
        <family val="2"/>
      </rPr>
      <t xml:space="preserve">年 </t>
    </r>
    <r>
      <rPr>
        <i/>
        <sz val="9"/>
        <color rgb="FF808080"/>
        <rFont val="Arial"/>
        <family val="2"/>
      </rPr>
      <t xml:space="preserve">SpaceX </t>
    </r>
    <r>
      <rPr>
        <i/>
        <sz val="9"/>
        <color rgb="FF808080"/>
        <rFont val="Noto Sans CJK SC"/>
        <family val="2"/>
      </rPr>
      <t xml:space="preserve">低軌衛星訂單（法說：明年起顯著貢獻，材料 </t>
    </r>
    <r>
      <rPr>
        <i/>
        <sz val="9"/>
        <color rgb="FF808080"/>
        <rFont val="Arial"/>
        <family val="2"/>
      </rPr>
      <t>M4/M6/M7</t>
    </r>
    <r>
      <rPr>
        <i/>
        <sz val="9"/>
        <color rgb="FF808080"/>
        <rFont val="Noto Sans CJK SC"/>
        <family val="2"/>
      </rPr>
      <t>）。待訂單能見度明朗後再上修，屆時高階產能裕度足以承接。</t>
    </r>
  </si>
  <si>
    <r>
      <rPr>
        <i/>
        <sz val="9"/>
        <color rgb="FF808080"/>
        <rFont val="Noto Sans CJK SC"/>
        <family val="2"/>
      </rPr>
      <t xml:space="preserve">• ★漲價路徑為 </t>
    </r>
    <r>
      <rPr>
        <i/>
        <sz val="9"/>
        <color rgb="FF808080"/>
        <rFont val="Arial"/>
        <family val="2"/>
      </rPr>
      <t xml:space="preserve">v5 </t>
    </r>
    <r>
      <rPr>
        <i/>
        <sz val="9"/>
        <color rgb="FF808080"/>
        <rFont val="Noto Sans CJK SC"/>
        <family val="2"/>
      </rPr>
      <t>第二大變數：</t>
    </r>
    <r>
      <rPr>
        <i/>
        <sz val="9"/>
        <color rgb="FF808080"/>
        <rFont val="Arial"/>
        <family val="2"/>
      </rPr>
      <t xml:space="preserve">2027 </t>
    </r>
    <r>
      <rPr>
        <i/>
        <sz val="9"/>
        <color rgb="FF808080"/>
        <rFont val="Noto Sans CJK SC"/>
        <family val="2"/>
      </rPr>
      <t xml:space="preserve">全年若僅 </t>
    </r>
    <r>
      <rPr>
        <i/>
        <sz val="9"/>
        <color rgb="FF808080"/>
        <rFont val="Arial"/>
        <family val="2"/>
      </rPr>
      <t>+2.7%/</t>
    </r>
    <r>
      <rPr>
        <i/>
        <sz val="9"/>
        <color rgb="FF808080"/>
        <rFont val="Noto Sans CJK SC"/>
        <family val="2"/>
      </rPr>
      <t>季（</t>
    </r>
    <r>
      <rPr>
        <i/>
        <sz val="9"/>
        <color rgb="FF808080"/>
        <rFont val="Arial"/>
        <family val="2"/>
      </rPr>
      <t>v4</t>
    </r>
    <r>
      <rPr>
        <i/>
        <sz val="9"/>
        <color rgb="FF808080"/>
        <rFont val="Noto Sans CJK SC"/>
        <family val="2"/>
      </rPr>
      <t>設定），聯茂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 xml:space="preserve">台燿 </t>
    </r>
    <r>
      <rPr>
        <i/>
        <sz val="9"/>
        <color rgb="FF808080"/>
        <rFont val="Arial"/>
        <family val="2"/>
      </rPr>
      <t xml:space="preserve">2027 EPS </t>
    </r>
    <r>
      <rPr>
        <i/>
        <sz val="9"/>
        <color rgb="FF808080"/>
        <rFont val="Noto Sans CJK SC"/>
        <family val="2"/>
      </rPr>
      <t xml:space="preserve">降至 </t>
    </r>
    <r>
      <rPr>
        <i/>
        <sz val="9"/>
        <color rgb="FF808080"/>
        <rFont val="Arial"/>
        <family val="2"/>
      </rPr>
      <t>27.6/77.6</t>
    </r>
    <r>
      <rPr>
        <i/>
        <sz val="9"/>
        <color rgb="FF808080"/>
        <rFont val="Noto Sans CJK SC"/>
        <family val="2"/>
      </rPr>
      <t xml:space="preserve">；若 </t>
    </r>
    <r>
      <rPr>
        <i/>
        <sz val="9"/>
        <color rgb="FF808080"/>
        <rFont val="Arial"/>
        <family val="2"/>
      </rPr>
      <t xml:space="preserve">2028 </t>
    </r>
    <r>
      <rPr>
        <i/>
        <sz val="9"/>
        <color rgb="FF808080"/>
        <rFont val="Noto Sans CJK SC"/>
        <family val="2"/>
      </rPr>
      <t>仍能續漲，則另有顯著上檔。詳見「漲價路徑敏感度」分頁。</t>
    </r>
  </si>
  <si>
    <r>
      <rPr>
        <i/>
        <sz val="9"/>
        <color rgb="FF808080"/>
        <rFont val="Arial"/>
        <family val="2"/>
      </rPr>
      <t xml:space="preserve">• 2026 </t>
    </r>
    <r>
      <rPr>
        <i/>
        <sz val="9"/>
        <color rgb="FF808080"/>
        <rFont val="Noto Sans CJK SC"/>
        <family val="2"/>
      </rPr>
      <t xml:space="preserve">欄位僅涵蓋 </t>
    </r>
    <r>
      <rPr>
        <i/>
        <sz val="9"/>
        <color rgb="FF808080"/>
        <rFont val="Arial"/>
        <family val="2"/>
      </rPr>
      <t>H2</t>
    </r>
    <r>
      <rPr>
        <i/>
        <sz val="9"/>
        <color rgb="FF808080"/>
        <rFont val="Noto Sans CJK SC"/>
        <family val="2"/>
      </rPr>
      <t>（</t>
    </r>
    <r>
      <rPr>
        <i/>
        <sz val="9"/>
        <color rgb="FF808080"/>
        <rFont val="Arial"/>
        <family val="2"/>
      </rPr>
      <t>7-12</t>
    </r>
    <r>
      <rPr>
        <i/>
        <sz val="9"/>
        <color rgb="FF808080"/>
        <rFont val="Noto Sans CJK SC"/>
        <family val="2"/>
      </rPr>
      <t xml:space="preserve">月），因 </t>
    </r>
    <r>
      <rPr>
        <i/>
        <sz val="9"/>
        <color rgb="FF808080"/>
        <rFont val="Arial"/>
        <family val="2"/>
      </rPr>
      <t xml:space="preserve">H1 </t>
    </r>
    <r>
      <rPr>
        <i/>
        <sz val="9"/>
        <color rgb="FF808080"/>
        <rFont val="Noto Sans CJK SC"/>
        <family val="2"/>
      </rPr>
      <t>為公告實際值、組合已定。</t>
    </r>
  </si>
  <si>
    <t>單位：億元</t>
  </si>
  <si>
    <t>115/01</t>
  </si>
  <si>
    <t>115/02</t>
  </si>
  <si>
    <t>115/03</t>
  </si>
  <si>
    <t>115/04</t>
  </si>
  <si>
    <t>115/05</t>
  </si>
  <si>
    <t>115/06</t>
  </si>
  <si>
    <t>115/07</t>
  </si>
  <si>
    <t>115/08</t>
  </si>
  <si>
    <t>115/09</t>
  </si>
  <si>
    <t>115/10</t>
  </si>
  <si>
    <t>115/11</t>
  </si>
  <si>
    <t>115/12</t>
  </si>
  <si>
    <t>116/01</t>
  </si>
  <si>
    <t>116/02</t>
  </si>
  <si>
    <t>116/03</t>
  </si>
  <si>
    <t>116/04</t>
  </si>
  <si>
    <t>116/05</t>
  </si>
  <si>
    <t>116/06</t>
  </si>
  <si>
    <t>116/07</t>
  </si>
  <si>
    <t>116/08</t>
  </si>
  <si>
    <t>116/09</t>
  </si>
  <si>
    <t>116/10</t>
  </si>
  <si>
    <t>116/11</t>
  </si>
  <si>
    <t>116/12</t>
  </si>
  <si>
    <t>117/01</t>
  </si>
  <si>
    <t>117/02</t>
  </si>
  <si>
    <t>117/03</t>
  </si>
  <si>
    <t>117/04</t>
  </si>
  <si>
    <t>117/05</t>
  </si>
  <si>
    <t>117/06</t>
  </si>
  <si>
    <t>117/07</t>
  </si>
  <si>
    <t>117/08</t>
  </si>
  <si>
    <t>117/09</t>
  </si>
  <si>
    <t>117/10</t>
  </si>
  <si>
    <t>117/11</t>
  </si>
  <si>
    <t>117/12</t>
  </si>
  <si>
    <r>
      <rPr>
        <b/>
        <sz val="11"/>
        <rFont val="Cambria"/>
        <family val="1"/>
      </rPr>
      <t>2026</t>
    </r>
    <r>
      <rPr>
        <b/>
        <sz val="11"/>
        <rFont val="Noto Sans CJK SC"/>
        <family val="2"/>
      </rPr>
      <t>全年</t>
    </r>
  </si>
  <si>
    <r>
      <rPr>
        <b/>
        <sz val="11"/>
        <rFont val="Cambria"/>
        <family val="1"/>
      </rPr>
      <t>2027</t>
    </r>
    <r>
      <rPr>
        <b/>
        <sz val="11"/>
        <rFont val="Noto Sans CJK SC"/>
        <family val="2"/>
      </rPr>
      <t>全年</t>
    </r>
  </si>
  <si>
    <r>
      <rPr>
        <b/>
        <sz val="11"/>
        <rFont val="Cambria"/>
        <family val="1"/>
      </rPr>
      <t>2028</t>
    </r>
    <r>
      <rPr>
        <b/>
        <sz val="11"/>
        <rFont val="Noto Sans CJK SC"/>
        <family val="2"/>
      </rPr>
      <t>全年</t>
    </r>
  </si>
  <si>
    <r>
      <rPr>
        <b/>
        <sz val="11"/>
        <rFont val="Noto Sans CJK SC"/>
        <family val="2"/>
      </rPr>
      <t>法人</t>
    </r>
    <r>
      <rPr>
        <b/>
        <sz val="11"/>
        <rFont val="Cambria"/>
        <family val="1"/>
      </rPr>
      <t>2026</t>
    </r>
    <r>
      <rPr>
        <b/>
        <sz val="11"/>
        <rFont val="Noto Sans CJK SC"/>
        <family val="2"/>
      </rPr>
      <t>共識</t>
    </r>
  </si>
  <si>
    <r>
      <rPr>
        <b/>
        <sz val="11"/>
        <rFont val="Noto Sans CJK SC"/>
        <family val="2"/>
      </rPr>
      <t>法人</t>
    </r>
    <r>
      <rPr>
        <b/>
        <sz val="11"/>
        <rFont val="Cambria"/>
        <family val="1"/>
      </rPr>
      <t>2027</t>
    </r>
    <r>
      <rPr>
        <b/>
        <sz val="11"/>
        <rFont val="Noto Sans CJK SC"/>
        <family val="2"/>
      </rPr>
      <t>共識</t>
    </r>
  </si>
  <si>
    <r>
      <rPr>
        <b/>
        <sz val="11"/>
        <rFont val="Noto Sans CJK SC"/>
        <family val="2"/>
      </rPr>
      <t>法人</t>
    </r>
    <r>
      <rPr>
        <b/>
        <sz val="11"/>
        <rFont val="Cambria"/>
        <family val="1"/>
      </rPr>
      <t>2028</t>
    </r>
    <r>
      <rPr>
        <b/>
        <sz val="11"/>
        <rFont val="Noto Sans CJK SC"/>
        <family val="2"/>
      </rPr>
      <t>共識</t>
    </r>
  </si>
  <si>
    <t>營收</t>
  </si>
  <si>
    <t>營業毛利率</t>
  </si>
  <si>
    <t>營業毛利</t>
  </si>
  <si>
    <t>營業費用率</t>
  </si>
  <si>
    <t>營業費用（月）</t>
  </si>
  <si>
    <t>營業利益</t>
  </si>
  <si>
    <t>營業利益率</t>
  </si>
  <si>
    <t>業外收益</t>
  </si>
  <si>
    <t>稅前淨利率</t>
  </si>
  <si>
    <t>稅前淨利</t>
  </si>
  <si>
    <t>所得稅費用</t>
  </si>
  <si>
    <r>
      <rPr>
        <sz val="11"/>
        <color theme="1"/>
        <rFont val="Noto Sans CJK SC"/>
        <family val="2"/>
      </rPr>
      <t>稅後淨利率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全部</t>
    </r>
    <r>
      <rPr>
        <sz val="11"/>
        <color theme="1"/>
        <rFont val="Calibri"/>
        <family val="2"/>
        <charset val="1"/>
      </rPr>
      <t>)</t>
    </r>
  </si>
  <si>
    <t>稅後淨利（全部）</t>
  </si>
  <si>
    <t>歸屬於母公司比例</t>
  </si>
  <si>
    <r>
      <rPr>
        <sz val="11"/>
        <color theme="1"/>
        <rFont val="Noto Sans CJK SC"/>
        <family val="2"/>
      </rPr>
      <t>稅後淨利率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歸母</t>
    </r>
    <r>
      <rPr>
        <sz val="11"/>
        <color theme="1"/>
        <rFont val="Calibri"/>
        <family val="2"/>
        <charset val="1"/>
      </rPr>
      <t>)</t>
    </r>
  </si>
  <si>
    <t>稅後淨利（歸屬於母公司）</t>
  </si>
  <si>
    <t>股數（需計算稀釋）</t>
  </si>
  <si>
    <t>EPS</t>
  </si>
  <si>
    <r>
      <rPr>
        <sz val="11"/>
        <color theme="1"/>
        <rFont val="Calibri"/>
        <family val="2"/>
        <charset val="1"/>
      </rPr>
      <t>EPS</t>
    </r>
    <r>
      <rPr>
        <sz val="11"/>
        <color theme="1"/>
        <rFont val="Noto Sans CJK SC"/>
        <family val="2"/>
      </rPr>
      <t>每季</t>
    </r>
  </si>
  <si>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EPS</t>
    </r>
  </si>
  <si>
    <t>Note:</t>
  </si>
  <si>
    <r>
      <rPr>
        <sz val="11"/>
        <color theme="1"/>
        <rFont val="Noto Sans CJK SC"/>
        <family val="2"/>
      </rPr>
      <t>【</t>
    </r>
    <r>
      <rPr>
        <sz val="11"/>
        <color theme="1"/>
        <rFont val="Calibri"/>
        <family val="2"/>
        <charset val="1"/>
      </rPr>
      <t>v3 20260725</t>
    </r>
    <r>
      <rPr>
        <sz val="11"/>
        <color theme="1"/>
        <rFont val="Noto Sans CJK SC"/>
        <family val="2"/>
      </rPr>
      <t>｜依</t>
    </r>
    <r>
      <rPr>
        <sz val="11"/>
        <color theme="1"/>
        <rFont val="Calibri"/>
        <family val="2"/>
        <charset val="1"/>
      </rPr>
      <t>Wallace</t>
    </r>
    <r>
      <rPr>
        <sz val="11"/>
        <color theme="1"/>
        <rFont val="Noto Sans CJK SC"/>
        <family val="2"/>
      </rPr>
      <t>指示改為基本情境】</t>
    </r>
    <r>
      <rPr>
        <sz val="11"/>
        <color theme="1"/>
        <rFont val="Calibri"/>
        <family val="2"/>
        <charset val="1"/>
      </rPr>
      <t>mPPO</t>
    </r>
    <r>
      <rPr>
        <sz val="11"/>
        <color theme="1"/>
        <rFont val="Noto Sans CJK SC"/>
        <family val="2"/>
      </rPr>
      <t>【交聯茂總量】自</t>
    </r>
    <r>
      <rPr>
        <sz val="11"/>
        <color theme="1"/>
        <rFont val="Calibri"/>
        <family val="2"/>
        <charset val="1"/>
      </rPr>
      <t>2026/10</t>
    </r>
    <r>
      <rPr>
        <sz val="11"/>
        <color theme="1"/>
        <rFont val="Noto Sans CJK SC"/>
        <family val="2"/>
      </rPr>
      <t>起達</t>
    </r>
    <r>
      <rPr>
        <sz val="11"/>
        <color theme="1"/>
        <rFont val="Calibri"/>
        <family val="2"/>
        <charset val="1"/>
      </rPr>
      <t>100</t>
    </r>
    <r>
      <rPr>
        <sz val="11"/>
        <color theme="1"/>
        <rFont val="Noto Sans CJK SC"/>
        <family val="2"/>
      </rPr>
      <t>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月（</t>
    </r>
    <r>
      <rPr>
        <sz val="11"/>
        <color theme="1"/>
        <rFont val="Calibri"/>
        <family val="2"/>
        <charset val="1"/>
      </rPr>
      <t>Wallace</t>
    </r>
    <r>
      <rPr>
        <sz val="11"/>
        <color theme="1"/>
        <rFont val="Noto Sans CJK SC"/>
        <family val="2"/>
      </rPr>
      <t>方交貨</t>
    </r>
    <r>
      <rPr>
        <sz val="11"/>
        <color theme="1"/>
        <rFont val="Calibri"/>
        <family val="2"/>
        <charset val="1"/>
      </rPr>
      <t>50</t>
    </r>
    <r>
      <rPr>
        <sz val="11"/>
        <color theme="1"/>
        <rFont val="Noto Sans CJK SC"/>
        <family val="2"/>
      </rPr>
      <t>噸＋元鴻配套</t>
    </r>
    <r>
      <rPr>
        <sz val="11"/>
        <color theme="1"/>
        <rFont val="Calibri"/>
        <family val="2"/>
        <charset val="1"/>
      </rPr>
      <t>50</t>
    </r>
    <r>
      <rPr>
        <sz val="11"/>
        <color theme="1"/>
        <rFont val="Noto Sans CJK SC"/>
        <family val="2"/>
      </rPr>
      <t>噸）。逐月路徑：</t>
    </r>
    <r>
      <rPr>
        <sz val="11"/>
        <color theme="1"/>
        <rFont val="Calibri"/>
        <family val="2"/>
        <charset val="1"/>
      </rPr>
      <t>4-5</t>
    </r>
    <r>
      <rPr>
        <sz val="11"/>
        <color theme="1"/>
        <rFont val="Noto Sans CJK SC"/>
        <family val="2"/>
      </rPr>
      <t>月</t>
    </r>
    <r>
      <rPr>
        <sz val="11"/>
        <color theme="1"/>
        <rFont val="Calibri"/>
        <family val="2"/>
        <charset val="1"/>
      </rPr>
      <t>20</t>
    </r>
    <r>
      <rPr>
        <sz val="11"/>
        <color theme="1"/>
        <rFont val="Noto Sans CJK SC"/>
        <family val="2"/>
      </rPr>
      <t>噸→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>月</t>
    </r>
    <r>
      <rPr>
        <sz val="11"/>
        <color theme="1"/>
        <rFont val="Calibri"/>
        <family val="2"/>
        <charset val="1"/>
      </rPr>
      <t>32</t>
    </r>
    <r>
      <rPr>
        <sz val="11"/>
        <color theme="1"/>
        <rFont val="Noto Sans CJK SC"/>
        <family val="2"/>
      </rPr>
      <t>噸→</t>
    </r>
    <r>
      <rPr>
        <sz val="11"/>
        <color theme="1"/>
        <rFont val="Calibri"/>
        <family val="2"/>
        <charset val="1"/>
      </rPr>
      <t>7-8</t>
    </r>
    <r>
      <rPr>
        <sz val="11"/>
        <color theme="1"/>
        <rFont val="Noto Sans CJK SC"/>
        <family val="2"/>
      </rPr>
      <t>月</t>
    </r>
    <r>
      <rPr>
        <sz val="11"/>
        <color theme="1"/>
        <rFont val="Calibri"/>
        <family val="2"/>
        <charset val="1"/>
      </rPr>
      <t>64</t>
    </r>
    <r>
      <rPr>
        <sz val="11"/>
        <color theme="1"/>
        <rFont val="Noto Sans CJK SC"/>
        <family val="2"/>
      </rPr>
      <t>噸→</t>
    </r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Noto Sans CJK SC"/>
        <family val="2"/>
      </rPr>
      <t>月</t>
    </r>
    <r>
      <rPr>
        <sz val="11"/>
        <color theme="1"/>
        <rFont val="Calibri"/>
        <family val="2"/>
        <charset val="1"/>
      </rPr>
      <t>80</t>
    </r>
    <r>
      <rPr>
        <sz val="11"/>
        <color theme="1"/>
        <rFont val="Noto Sans CJK SC"/>
        <family val="2"/>
      </rPr>
      <t>噸→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Noto Sans CJK SC"/>
        <family val="2"/>
      </rPr>
      <t>月起</t>
    </r>
    <r>
      <rPr>
        <sz val="11"/>
        <color theme="1"/>
        <rFont val="Calibri"/>
        <family val="2"/>
        <charset val="1"/>
      </rPr>
      <t>100</t>
    </r>
    <r>
      <rPr>
        <sz val="11"/>
        <color theme="1"/>
        <rFont val="Noto Sans CJK SC"/>
        <family val="2"/>
      </rPr>
      <t>噸。前版</t>
    </r>
    <r>
      <rPr>
        <sz val="11"/>
        <color theme="1"/>
        <rFont val="Calibri"/>
        <family val="2"/>
        <charset val="1"/>
      </rPr>
      <t>(v3)</t>
    </r>
    <r>
      <rPr>
        <sz val="11"/>
        <color theme="1"/>
        <rFont val="Noto Sans CJK SC"/>
        <family val="2"/>
      </rPr>
      <t>誤把</t>
    </r>
    <r>
      <rPr>
        <sz val="11"/>
        <color theme="1"/>
        <rFont val="Calibri"/>
        <family val="2"/>
        <charset val="1"/>
      </rPr>
      <t>100</t>
    </r>
    <r>
      <rPr>
        <sz val="11"/>
        <color theme="1"/>
        <rFont val="Noto Sans CJK SC"/>
        <family val="2"/>
      </rPr>
      <t>噸當成宜蘭出貨再</t>
    </r>
    <r>
      <rPr>
        <sz val="11"/>
        <color theme="1"/>
        <rFont val="Calibri"/>
        <family val="2"/>
        <charset val="1"/>
      </rPr>
      <t>×2</t>
    </r>
    <r>
      <rPr>
        <sz val="11"/>
        <color theme="1"/>
        <rFont val="Noto Sans CJK SC"/>
        <family val="2"/>
      </rPr>
      <t>＝</t>
    </r>
    <r>
      <rPr>
        <sz val="11"/>
        <color theme="1"/>
        <rFont val="Calibri"/>
        <family val="2"/>
        <charset val="1"/>
      </rPr>
      <t>200</t>
    </r>
    <r>
      <rPr>
        <sz val="11"/>
        <color theme="1"/>
        <rFont val="Noto Sans CJK SC"/>
        <family val="2"/>
      </rPr>
      <t>噸，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Noto Sans CJK SC"/>
        <family val="2"/>
      </rPr>
      <t>高估一倍，本版已修正。</t>
    </r>
  </si>
  <si>
    <r>
      <rPr>
        <sz val="11"/>
        <color theme="1"/>
        <rFont val="Noto Sans CJK SC"/>
        <family val="2"/>
      </rPr>
      <t>【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Noto Sans CJK SC"/>
        <family val="2"/>
      </rPr>
      <t>張數換算】每張耗樹脂</t>
    </r>
    <r>
      <rPr>
        <sz val="11"/>
        <color theme="1"/>
        <rFont val="Calibri"/>
        <family val="2"/>
        <charset val="1"/>
      </rPr>
      <t>0.113kg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41×49</t>
    </r>
    <r>
      <rPr>
        <sz val="11"/>
        <color theme="1"/>
        <rFont val="Noto Sans CJK SC"/>
        <family val="2"/>
      </rPr>
      <t>吋</t>
    </r>
    <r>
      <rPr>
        <sz val="11"/>
        <color theme="1"/>
        <rFont val="Calibri"/>
        <family val="2"/>
        <charset val="1"/>
      </rPr>
      <t>=1.296m²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4mil</t>
    </r>
    <r>
      <rPr>
        <sz val="11"/>
        <color theme="1"/>
        <rFont val="Noto Sans CJK SC"/>
        <family val="2"/>
      </rPr>
      <t>介電層、密度</t>
    </r>
    <r>
      <rPr>
        <sz val="11"/>
        <color theme="1"/>
        <rFont val="Calibri"/>
        <family val="2"/>
        <charset val="1"/>
      </rPr>
      <t>~1.95</t>
    </r>
    <r>
      <rPr>
        <sz val="11"/>
        <color theme="1"/>
        <rFont val="Noto Sans CJK SC"/>
        <family val="2"/>
      </rPr>
      <t>、樹脂含量</t>
    </r>
    <r>
      <rPr>
        <sz val="11"/>
        <color theme="1"/>
        <rFont val="Calibri"/>
        <family val="2"/>
        <charset val="1"/>
      </rPr>
      <t>45%</t>
    </r>
    <r>
      <rPr>
        <sz val="11"/>
        <color theme="1"/>
        <rFont val="Noto Sans CJK SC"/>
        <family val="2"/>
      </rPr>
      <t>）；</t>
    </r>
    <r>
      <rPr>
        <sz val="11"/>
        <color theme="1"/>
        <rFont val="Calibri"/>
        <family val="2"/>
        <charset val="1"/>
      </rPr>
      <t>mPPO</t>
    </r>
    <r>
      <rPr>
        <sz val="11"/>
        <color theme="1"/>
        <rFont val="Noto Sans CJK SC"/>
        <family val="2"/>
      </rPr>
      <t>同時用於</t>
    </r>
    <r>
      <rPr>
        <sz val="11"/>
        <color theme="1"/>
        <rFont val="Calibri"/>
        <family val="2"/>
        <charset val="1"/>
      </rPr>
      <t>CCL</t>
    </r>
    <r>
      <rPr>
        <sz val="11"/>
        <color theme="1"/>
        <rFont val="Noto Sans CJK SC"/>
        <family val="2"/>
      </rPr>
      <t>基板核心與</t>
    </r>
    <r>
      <rPr>
        <sz val="11"/>
        <color theme="1"/>
        <rFont val="Calibri"/>
        <family val="2"/>
        <charset val="1"/>
      </rPr>
      <t>PP</t>
    </r>
    <r>
      <rPr>
        <sz val="11"/>
        <color theme="1"/>
        <rFont val="Noto Sans CJK SC"/>
        <family val="2"/>
      </rPr>
      <t>半固化片，</t>
    </r>
    <r>
      <rPr>
        <sz val="11"/>
        <color theme="1"/>
        <rFont val="Calibri"/>
        <family val="2"/>
        <charset val="1"/>
      </rPr>
      <t>PP</t>
    </r>
    <r>
      <rPr>
        <sz val="11"/>
        <color theme="1"/>
        <rFont val="Noto Sans CJK SC"/>
        <family val="2"/>
      </rPr>
      <t>按捲計價不佔『萬張』，故設流向</t>
    </r>
    <r>
      <rPr>
        <sz val="11"/>
        <color theme="1"/>
        <rFont val="Calibri"/>
        <family val="2"/>
        <charset val="1"/>
      </rPr>
      <t>CCL 55%</t>
    </r>
    <r>
      <rPr>
        <sz val="11"/>
        <color theme="1"/>
        <rFont val="Noto Sans CJK SC"/>
        <family val="2"/>
      </rPr>
      <t>。</t>
    </r>
    <r>
      <rPr>
        <sz val="11"/>
        <color theme="1"/>
        <rFont val="Calibri"/>
        <family val="2"/>
        <charset val="1"/>
      </rPr>
      <t>100</t>
    </r>
    <r>
      <rPr>
        <sz val="11"/>
        <color theme="1"/>
        <rFont val="Noto Sans CJK SC"/>
        <family val="2"/>
      </rPr>
      <t>噸</t>
    </r>
    <r>
      <rPr>
        <sz val="11"/>
        <color theme="1"/>
        <rFont val="Calibri"/>
        <family val="2"/>
        <charset val="1"/>
      </rPr>
      <t>×55%÷0.113 = M7</t>
    </r>
    <r>
      <rPr>
        <sz val="11"/>
        <color theme="1"/>
        <rFont val="Noto Sans CJK SC"/>
        <family val="2"/>
      </rPr>
      <t>約</t>
    </r>
    <r>
      <rPr>
        <sz val="11"/>
        <color theme="1"/>
        <rFont val="Calibri"/>
        <family val="2"/>
        <charset val="1"/>
      </rPr>
      <t>48.7</t>
    </r>
    <r>
      <rPr>
        <sz val="11"/>
        <color theme="1"/>
        <rFont val="Noto Sans CJK SC"/>
        <family val="2"/>
      </rPr>
      <t>萬張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月（</t>
    </r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Noto Sans CJK SC"/>
        <family val="2"/>
      </rPr>
      <t>月起，為</t>
    </r>
    <r>
      <rPr>
        <sz val="11"/>
        <color theme="1"/>
        <rFont val="Calibri"/>
        <family val="2"/>
        <charset val="1"/>
      </rPr>
      <t>2026H2</t>
    </r>
    <r>
      <rPr>
        <sz val="11"/>
        <color theme="1"/>
        <rFont val="Noto Sans CJK SC"/>
        <family val="2"/>
      </rPr>
      <t>之量體依據）。</t>
    </r>
  </si>
  <si>
    <r>
      <rPr>
        <sz val="11"/>
        <color theme="1"/>
        <rFont val="Noto Sans CJK SC"/>
        <family val="2"/>
      </rPr>
      <t>【</t>
    </r>
    <r>
      <rPr>
        <sz val="11"/>
        <color theme="1"/>
        <rFont val="Calibri"/>
        <family val="2"/>
        <charset val="1"/>
      </rPr>
      <t>v6</t>
    </r>
    <r>
      <rPr>
        <sz val="11"/>
        <color theme="1"/>
        <rFont val="Noto Sans CJK SC"/>
        <family val="2"/>
      </rPr>
      <t>核心修正‧依</t>
    </r>
    <r>
      <rPr>
        <sz val="11"/>
        <color theme="1"/>
        <rFont val="Calibri"/>
        <family val="2"/>
        <charset val="1"/>
      </rPr>
      <t>Wallace</t>
    </r>
    <r>
      <rPr>
        <sz val="11"/>
        <color theme="1"/>
        <rFont val="Noto Sans CJK SC"/>
        <family val="2"/>
      </rPr>
      <t>指示】</t>
    </r>
    <r>
      <rPr>
        <sz val="11"/>
        <color theme="1"/>
        <rFont val="Calibri"/>
        <family val="2"/>
        <charset val="1"/>
      </rPr>
      <t>2027H2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M7+ </t>
    </r>
    <r>
      <rPr>
        <sz val="11"/>
        <color theme="1"/>
        <rFont val="Noto Sans CJK SC"/>
        <family val="2"/>
      </rPr>
      <t>填滿高階線產能，並削減</t>
    </r>
    <r>
      <rPr>
        <sz val="11"/>
        <color theme="1"/>
        <rFont val="Calibri"/>
        <family val="2"/>
        <charset val="1"/>
      </rPr>
      <t>M6</t>
    </r>
    <r>
      <rPr>
        <sz val="11"/>
        <color theme="1"/>
        <rFont val="Noto Sans CJK SC"/>
        <family val="2"/>
      </rPr>
      <t>轉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General server</t>
    </r>
    <r>
      <rPr>
        <sz val="11"/>
        <color theme="1"/>
        <rFont val="Noto Sans CJK SC"/>
        <family val="2"/>
      </rPr>
      <t>本身也在由</t>
    </r>
    <r>
      <rPr>
        <sz val="11"/>
        <color theme="1"/>
        <rFont val="Calibri"/>
        <family val="2"/>
        <charset val="1"/>
      </rPr>
      <t>M6</t>
    </r>
    <r>
      <rPr>
        <sz val="11"/>
        <color theme="1"/>
        <rFont val="Noto Sans CJK SC"/>
        <family val="2"/>
      </rPr>
      <t>轉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Low DK</t>
    </r>
    <r>
      <rPr>
        <sz val="11"/>
        <color theme="1"/>
        <rFont val="Noto Sans CJK SC"/>
        <family val="2"/>
      </rPr>
      <t>布供應無虞、</t>
    </r>
    <r>
      <rPr>
        <sz val="11"/>
        <color theme="1"/>
        <rFont val="Calibri"/>
        <family val="2"/>
        <charset val="1"/>
      </rPr>
      <t>M7+</t>
    </r>
    <r>
      <rPr>
        <sz val="11"/>
        <color theme="1"/>
        <rFont val="Noto Sans CJK SC"/>
        <family val="2"/>
      </rPr>
      <t>產能才是稀缺資源）。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Noto Sans CJK SC"/>
        <family val="2"/>
      </rPr>
      <t>路徑：</t>
    </r>
    <r>
      <rPr>
        <sz val="11"/>
        <color theme="1"/>
        <rFont val="Calibri"/>
        <family val="2"/>
        <charset val="1"/>
      </rPr>
      <t>2026Q4 48.7</t>
    </r>
    <r>
      <rPr>
        <sz val="11"/>
        <color theme="1"/>
        <rFont val="Noto Sans CJK SC"/>
        <family val="2"/>
      </rPr>
      <t xml:space="preserve">萬張 → </t>
    </r>
    <r>
      <rPr>
        <sz val="11"/>
        <color theme="1"/>
        <rFont val="Calibri"/>
        <family val="2"/>
        <charset val="1"/>
      </rPr>
      <t>2027H1</t>
    </r>
    <r>
      <rPr>
        <sz val="11"/>
        <color theme="1"/>
        <rFont val="Noto Sans CJK SC"/>
        <family val="2"/>
      </rPr>
      <t xml:space="preserve">線性爬坡 → </t>
    </r>
    <r>
      <rPr>
        <sz val="11"/>
        <color theme="1"/>
        <rFont val="Calibri"/>
        <family val="2"/>
        <charset val="1"/>
      </rPr>
      <t>2027H2</t>
    </r>
    <r>
      <rPr>
        <sz val="11"/>
        <color theme="1"/>
        <rFont val="Noto Sans CJK SC"/>
        <family val="2"/>
      </rPr>
      <t>起</t>
    </r>
    <r>
      <rPr>
        <sz val="11"/>
        <color theme="1"/>
        <rFont val="Calibri"/>
        <family val="2"/>
        <charset val="1"/>
      </rPr>
      <t>177.8</t>
    </r>
    <r>
      <rPr>
        <sz val="11"/>
        <color theme="1"/>
        <rFont val="Noto Sans CJK SC"/>
        <family val="2"/>
      </rPr>
      <t xml:space="preserve">萬張 → </t>
    </r>
    <r>
      <rPr>
        <sz val="11"/>
        <color theme="1"/>
        <rFont val="Calibri"/>
        <family val="2"/>
        <charset val="1"/>
      </rPr>
      <t>2028 219.8</t>
    </r>
    <r>
      <rPr>
        <sz val="11"/>
        <color theme="1"/>
        <rFont val="Noto Sans CJK SC"/>
        <family val="2"/>
      </rPr>
      <t>萬張；</t>
    </r>
    <r>
      <rPr>
        <sz val="11"/>
        <color theme="1"/>
        <rFont val="Calibri"/>
        <family val="2"/>
        <charset val="1"/>
      </rPr>
      <t>M6</t>
    </r>
    <r>
      <rPr>
        <sz val="11"/>
        <color theme="1"/>
        <rFont val="Noto Sans CJK SC"/>
        <family val="2"/>
      </rPr>
      <t>同步由</t>
    </r>
    <r>
      <rPr>
        <sz val="11"/>
        <color theme="1"/>
        <rFont val="Calibri"/>
        <family val="2"/>
        <charset val="1"/>
      </rPr>
      <t>65</t>
    </r>
    <r>
      <rPr>
        <sz val="11"/>
        <color theme="1"/>
        <rFont val="Noto Sans CJK SC"/>
        <family val="2"/>
      </rPr>
      <t>萬張降至</t>
    </r>
    <r>
      <rPr>
        <sz val="11"/>
        <color theme="1"/>
        <rFont val="Calibri"/>
        <family val="2"/>
        <charset val="1"/>
      </rPr>
      <t>2027H2</t>
    </r>
    <r>
      <rPr>
        <sz val="11"/>
        <color theme="1"/>
        <rFont val="Noto Sans CJK SC"/>
        <family val="2"/>
      </rPr>
      <t>的</t>
    </r>
    <r>
      <rPr>
        <sz val="11"/>
        <color theme="1"/>
        <rFont val="Calibri"/>
        <family val="2"/>
        <charset val="1"/>
      </rPr>
      <t>20</t>
    </r>
    <r>
      <rPr>
        <sz val="11"/>
        <color theme="1"/>
        <rFont val="Noto Sans CJK SC"/>
        <family val="2"/>
      </rPr>
      <t>萬張、</t>
    </r>
    <r>
      <rPr>
        <sz val="11"/>
        <color theme="1"/>
        <rFont val="Calibri"/>
        <family val="2"/>
        <charset val="1"/>
      </rPr>
      <t>2028</t>
    </r>
    <r>
      <rPr>
        <sz val="11"/>
        <color theme="1"/>
        <rFont val="Noto Sans CJK SC"/>
        <family val="2"/>
      </rPr>
      <t>的</t>
    </r>
    <r>
      <rPr>
        <sz val="11"/>
        <color theme="1"/>
        <rFont val="Calibri"/>
        <family val="2"/>
        <charset val="1"/>
      </rPr>
      <t>15</t>
    </r>
    <r>
      <rPr>
        <sz val="11"/>
        <color theme="1"/>
        <rFont val="Noto Sans CJK SC"/>
        <family val="2"/>
      </rPr>
      <t>萬張。高階線壓合當量使用率：</t>
    </r>
    <r>
      <rPr>
        <sz val="11"/>
        <color theme="1"/>
        <rFont val="Calibri"/>
        <family val="2"/>
        <charset val="1"/>
      </rPr>
      <t>2026 55%→2027 83%→2028 95%</t>
    </r>
    <r>
      <rPr>
        <sz val="11"/>
        <color theme="1"/>
        <rFont val="Noto Sans CJK SC"/>
        <family val="2"/>
      </rPr>
      <t>（已逼近上限）。</t>
    </r>
  </si>
  <si>
    <r>
      <rPr>
        <sz val="11"/>
        <color theme="1"/>
        <rFont val="Noto Sans CJK SC"/>
        <family val="2"/>
      </rPr>
      <t>【樹脂需求反算‧供驗證】填滿產能所需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Noto Sans CJK SC"/>
        <family val="2"/>
      </rPr>
      <t>樹脂：</t>
    </r>
    <r>
      <rPr>
        <sz val="11"/>
        <color theme="1"/>
        <rFont val="Calibri"/>
        <family val="2"/>
        <charset val="1"/>
      </rPr>
      <t>2027</t>
    </r>
    <r>
      <rPr>
        <sz val="11"/>
        <color theme="1"/>
        <rFont val="Noto Sans CJK SC"/>
        <family val="2"/>
      </rPr>
      <t>約</t>
    </r>
    <r>
      <rPr>
        <sz val="11"/>
        <color theme="1"/>
        <rFont val="Calibri"/>
        <family val="2"/>
        <charset val="1"/>
      </rPr>
      <t>288</t>
    </r>
    <r>
      <rPr>
        <sz val="11"/>
        <color theme="1"/>
        <rFont val="Noto Sans CJK SC"/>
        <family val="2"/>
      </rPr>
      <t>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月、</t>
    </r>
    <r>
      <rPr>
        <sz val="11"/>
        <color theme="1"/>
        <rFont val="Calibri"/>
        <family val="2"/>
        <charset val="1"/>
      </rPr>
      <t>2028</t>
    </r>
    <r>
      <rPr>
        <sz val="11"/>
        <color theme="1"/>
        <rFont val="Noto Sans CJK SC"/>
        <family val="2"/>
      </rPr>
      <t>約</t>
    </r>
    <r>
      <rPr>
        <sz val="11"/>
        <color theme="1"/>
        <rFont val="Calibri"/>
        <family val="2"/>
        <charset val="1"/>
      </rPr>
      <t>452</t>
    </r>
    <r>
      <rPr>
        <sz val="11"/>
        <color theme="1"/>
        <rFont val="Noto Sans CJK SC"/>
        <family val="2"/>
      </rPr>
      <t>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月（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Noto Sans CJK SC"/>
        <family val="2"/>
      </rPr>
      <t>張數</t>
    </r>
    <r>
      <rPr>
        <sz val="11"/>
        <color theme="1"/>
        <rFont val="Calibri"/>
        <family val="2"/>
        <charset val="1"/>
      </rPr>
      <t>×0.113kg÷</t>
    </r>
    <r>
      <rPr>
        <sz val="11"/>
        <color theme="1"/>
        <rFont val="Noto Sans CJK SC"/>
        <family val="2"/>
      </rPr>
      <t>流向</t>
    </r>
    <r>
      <rPr>
        <sz val="11"/>
        <color theme="1"/>
        <rFont val="Calibri"/>
        <family val="2"/>
        <charset val="1"/>
      </rPr>
      <t>CCL 55%</t>
    </r>
    <r>
      <rPr>
        <sz val="11"/>
        <color theme="1"/>
        <rFont val="Noto Sans CJK SC"/>
        <family val="2"/>
      </rPr>
      <t>），為</t>
    </r>
    <r>
      <rPr>
        <sz val="11"/>
        <color theme="1"/>
        <rFont val="Calibri"/>
        <family val="2"/>
        <charset val="1"/>
      </rPr>
      <t>Wallace</t>
    </r>
    <r>
      <rPr>
        <sz val="11"/>
        <color theme="1"/>
        <rFont val="Noto Sans CJK SC"/>
        <family val="2"/>
      </rPr>
      <t>通路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宜蘭</t>
    </r>
    <r>
      <rPr>
        <sz val="11"/>
        <color theme="1"/>
        <rFont val="Calibri"/>
        <family val="2"/>
        <charset val="1"/>
      </rPr>
      <t>50+</t>
    </r>
    <r>
      <rPr>
        <sz val="11"/>
        <color theme="1"/>
        <rFont val="Noto Sans CJK SC"/>
        <family val="2"/>
      </rPr>
      <t>元鴻</t>
    </r>
    <r>
      <rPr>
        <sz val="11"/>
        <color theme="1"/>
        <rFont val="Calibri"/>
        <family val="2"/>
        <charset val="1"/>
      </rPr>
      <t>50=100</t>
    </r>
    <r>
      <rPr>
        <sz val="11"/>
        <color theme="1"/>
        <rFont val="Noto Sans CJK SC"/>
        <family val="2"/>
      </rPr>
      <t>噸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的</t>
    </r>
    <r>
      <rPr>
        <sz val="11"/>
        <color theme="1"/>
        <rFont val="Calibri"/>
        <family val="2"/>
        <charset val="1"/>
      </rPr>
      <t>2.9~4.5</t>
    </r>
    <r>
      <rPr>
        <sz val="11"/>
        <color theme="1"/>
        <rFont val="Noto Sans CJK SC"/>
        <family val="2"/>
      </rPr>
      <t>倍。聯茂另有</t>
    </r>
    <r>
      <rPr>
        <sz val="11"/>
        <color theme="1"/>
        <rFont val="Calibri"/>
        <family val="2"/>
        <charset val="1"/>
      </rPr>
      <t>SABIC NORYL SA9000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MGC OPE-2ST</t>
    </r>
    <r>
      <rPr>
        <sz val="11"/>
        <color theme="1"/>
        <rFont val="Noto Sans CJK SC"/>
        <family val="2"/>
      </rPr>
      <t>、雙鍵等來源，此倍數合理，故</t>
    </r>
    <r>
      <rPr>
        <sz val="11"/>
        <color theme="1"/>
        <rFont val="Calibri"/>
        <family val="2"/>
        <charset val="1"/>
      </rPr>
      <t>mPPO 100</t>
    </r>
    <r>
      <rPr>
        <sz val="11"/>
        <color theme="1"/>
        <rFont val="Noto Sans CJK SC"/>
        <family val="2"/>
      </rPr>
      <t>噸應視為『斜率領先指標』而非量體上限。</t>
    </r>
  </si>
  <si>
    <r>
      <rPr>
        <sz val="11"/>
        <color theme="1"/>
        <rFont val="Noto Sans CJK SC"/>
        <family val="2"/>
      </rPr>
      <t>【毛利率】</t>
    </r>
    <r>
      <rPr>
        <sz val="11"/>
        <color theme="1"/>
        <rFont val="Calibri"/>
        <family val="2"/>
        <charset val="1"/>
      </rPr>
      <t>26Q1 11.42%</t>
    </r>
    <r>
      <rPr>
        <sz val="11"/>
        <color theme="1"/>
        <rFont val="Noto Sans CJK SC"/>
        <family val="2"/>
      </rPr>
      <t>實際；</t>
    </r>
    <r>
      <rPr>
        <sz val="11"/>
        <color theme="1"/>
        <rFont val="Calibri"/>
        <family val="2"/>
        <charset val="1"/>
      </rPr>
      <t>26Q2-Q4</t>
    </r>
    <r>
      <rPr>
        <sz val="11"/>
        <color theme="1"/>
        <rFont val="Noto Sans CJK SC"/>
        <family val="2"/>
      </rPr>
      <t>為法說</t>
    </r>
    <r>
      <rPr>
        <sz val="11"/>
        <color theme="1"/>
        <rFont val="Calibri"/>
        <family val="2"/>
        <charset val="1"/>
      </rPr>
      <t>guidance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19.5/19.8/20.5%</t>
    </r>
    <r>
      <rPr>
        <sz val="11"/>
        <color theme="1"/>
        <rFont val="Noto Sans CJK SC"/>
        <family val="2"/>
      </rPr>
      <t>）；</t>
    </r>
    <r>
      <rPr>
        <sz val="11"/>
        <color theme="1"/>
        <rFont val="Calibri"/>
        <family val="2"/>
        <charset val="1"/>
      </rPr>
      <t>2027 24.5-27.6%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2028 28.8-29.8%</t>
    </r>
    <r>
      <rPr>
        <sz val="11"/>
        <color theme="1"/>
        <rFont val="Noto Sans CJK SC"/>
        <family val="2"/>
      </rPr>
      <t>，隨漲價延續＋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Noto Sans CJK SC"/>
        <family val="2"/>
      </rPr>
      <t>填滿產能同步上調。</t>
    </r>
    <r>
      <rPr>
        <sz val="11"/>
        <color theme="1"/>
        <rFont val="Calibri"/>
        <family val="2"/>
        <charset val="1"/>
      </rPr>
      <t>2028</t>
    </r>
    <r>
      <rPr>
        <sz val="11"/>
        <color theme="1"/>
        <rFont val="Noto Sans CJK SC"/>
        <family val="2"/>
      </rPr>
      <t>仍封頂於公司長線口徑『玻纖布緩解後</t>
    </r>
    <r>
      <rPr>
        <sz val="11"/>
        <color theme="1"/>
        <rFont val="Calibri"/>
        <family val="2"/>
        <charset val="1"/>
      </rPr>
      <t>30%</t>
    </r>
    <r>
      <rPr>
        <sz val="11"/>
        <color theme="1"/>
        <rFont val="Noto Sans CJK SC"/>
        <family val="2"/>
      </rPr>
      <t>可達成』之下（最高</t>
    </r>
    <r>
      <rPr>
        <sz val="11"/>
        <color theme="1"/>
        <rFont val="Calibri"/>
        <family val="2"/>
        <charset val="1"/>
      </rPr>
      <t>29.8%</t>
    </r>
    <r>
      <rPr>
        <sz val="11"/>
        <color theme="1"/>
        <rFont val="Noto Sans CJK SC"/>
        <family val="2"/>
      </rPr>
      <t>），保留保守墊。</t>
    </r>
  </si>
  <si>
    <r>
      <rPr>
        <sz val="11"/>
        <color theme="1"/>
        <rFont val="Noto Sans CJK SC"/>
        <family val="2"/>
      </rPr>
      <t>【價格路徑‧</t>
    </r>
    <r>
      <rPr>
        <sz val="11"/>
        <color theme="1"/>
        <rFont val="Calibri"/>
        <family val="2"/>
        <charset val="1"/>
      </rPr>
      <t>v5</t>
    </r>
    <r>
      <rPr>
        <sz val="11"/>
        <color theme="1"/>
        <rFont val="Noto Sans CJK SC"/>
        <family val="2"/>
      </rPr>
      <t>核心修正】前版</t>
    </r>
    <r>
      <rPr>
        <sz val="11"/>
        <color theme="1"/>
        <rFont val="Calibri"/>
        <family val="2"/>
        <charset val="1"/>
      </rPr>
      <t>(v4)</t>
    </r>
    <r>
      <rPr>
        <sz val="11"/>
        <color theme="1"/>
        <rFont val="Noto Sans CJK SC"/>
        <family val="2"/>
      </rPr>
      <t>僅</t>
    </r>
    <r>
      <rPr>
        <sz val="11"/>
        <color theme="1"/>
        <rFont val="Calibri"/>
        <family val="2"/>
        <charset val="1"/>
      </rPr>
      <t>2026H2</t>
    </r>
    <r>
      <rPr>
        <sz val="11"/>
        <color theme="1"/>
        <rFont val="Noto Sans CJK SC"/>
        <family val="2"/>
      </rPr>
      <t>放每季</t>
    </r>
    <r>
      <rPr>
        <sz val="11"/>
        <color theme="1"/>
        <rFont val="Calibri"/>
        <family val="2"/>
        <charset val="1"/>
      </rPr>
      <t>+10%</t>
    </r>
    <r>
      <rPr>
        <sz val="11"/>
        <color theme="1"/>
        <rFont val="Noto Sans CJK SC"/>
        <family val="2"/>
      </rPr>
      <t>，</t>
    </r>
    <r>
      <rPr>
        <sz val="11"/>
        <color theme="1"/>
        <rFont val="Calibri"/>
        <family val="2"/>
        <charset val="1"/>
      </rPr>
      <t>2027</t>
    </r>
    <r>
      <rPr>
        <sz val="11"/>
        <color theme="1"/>
        <rFont val="Noto Sans CJK SC"/>
        <family val="2"/>
      </rPr>
      <t>壓到</t>
    </r>
    <r>
      <rPr>
        <sz val="11"/>
        <color theme="1"/>
        <rFont val="Calibri"/>
        <family val="2"/>
        <charset val="1"/>
      </rPr>
      <t>+2.7%/</t>
    </r>
    <r>
      <rPr>
        <sz val="11"/>
        <color theme="1"/>
        <rFont val="Noto Sans CJK SC"/>
        <family val="2"/>
      </rPr>
      <t>季、</t>
    </r>
    <r>
      <rPr>
        <sz val="11"/>
        <color theme="1"/>
        <rFont val="Calibri"/>
        <family val="2"/>
        <charset val="1"/>
      </rPr>
      <t>2028</t>
    </r>
    <r>
      <rPr>
        <sz val="11"/>
        <color theme="1"/>
        <rFont val="Noto Sans CJK SC"/>
        <family val="2"/>
      </rPr>
      <t>歸零，那是三情境機率加權後的殘值而非公司口徑，與證據不符。本版改為：</t>
    </r>
    <r>
      <rPr>
        <sz val="11"/>
        <color theme="1"/>
        <rFont val="Calibri"/>
        <family val="2"/>
        <charset val="1"/>
      </rPr>
      <t>2026H2 +12.5%/</t>
    </r>
    <r>
      <rPr>
        <sz val="11"/>
        <color theme="1"/>
        <rFont val="Noto Sans CJK SC"/>
        <family val="2"/>
      </rPr>
      <t>季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法說『每季</t>
    </r>
    <r>
      <rPr>
        <sz val="11"/>
        <color theme="1"/>
        <rFont val="Calibri"/>
        <family val="2"/>
        <charset val="1"/>
      </rPr>
      <t>10-15%</t>
    </r>
    <r>
      <rPr>
        <sz val="11"/>
        <color theme="1"/>
        <rFont val="Noto Sans CJK SC"/>
        <family val="2"/>
      </rPr>
      <t>』取中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2027H1 +10%/</t>
    </r>
    <r>
      <rPr>
        <sz val="11"/>
        <color theme="1"/>
        <rFont val="Noto Sans CJK SC"/>
        <family val="2"/>
      </rPr>
      <t>季、</t>
    </r>
    <r>
      <rPr>
        <sz val="11"/>
        <color theme="1"/>
        <rFont val="Calibri"/>
        <family val="2"/>
        <charset val="1"/>
      </rPr>
      <t>2027H2 +6%/</t>
    </r>
    <r>
      <rPr>
        <sz val="11"/>
        <color theme="1"/>
        <rFont val="Noto Sans CJK SC"/>
        <family val="2"/>
      </rPr>
      <t>季、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>持平。依據：法說『接下來每一季都會漲』『接下來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個月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至</t>
    </r>
    <r>
      <rPr>
        <sz val="11"/>
        <color theme="1"/>
        <rFont val="Calibri"/>
        <family val="2"/>
        <charset val="1"/>
      </rPr>
      <t>2027</t>
    </r>
    <r>
      <rPr>
        <sz val="11"/>
        <color theme="1"/>
        <rFont val="Noto Sans CJK SC"/>
        <family val="2"/>
      </rPr>
      <t>年中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緩解都不容易』；建滔會議『電子布到</t>
    </r>
    <r>
      <rPr>
        <sz val="11"/>
        <color theme="1"/>
        <rFont val="Calibri"/>
        <family val="2"/>
        <charset val="1"/>
      </rPr>
      <t>27</t>
    </r>
    <r>
      <rPr>
        <sz val="11"/>
        <color theme="1"/>
        <rFont val="Noto Sans CJK SC"/>
        <family val="2"/>
      </rPr>
      <t>年供需不會太快恢復平衡』。</t>
    </r>
    <r>
      <rPr>
        <sz val="11"/>
        <color theme="1"/>
        <rFont val="Calibri"/>
        <family val="2"/>
        <charset val="1"/>
      </rPr>
      <t>2028</t>
    </r>
    <r>
      <rPr>
        <sz val="11"/>
        <color theme="1"/>
        <rFont val="Noto Sans CJK SC"/>
        <family val="2"/>
      </rPr>
      <t>仍設持平，保守墊留在最遠一年。</t>
    </r>
  </si>
  <si>
    <r>
      <rPr>
        <sz val="11"/>
        <color theme="1"/>
        <rFont val="Noto Sans CJK SC"/>
        <family val="2"/>
      </rPr>
      <t>【尚未計入的</t>
    </r>
    <r>
      <rPr>
        <sz val="11"/>
        <color theme="1"/>
        <rFont val="Calibri"/>
        <family val="2"/>
        <charset val="1"/>
      </rPr>
      <t>upside</t>
    </r>
    <r>
      <rPr>
        <sz val="11"/>
        <color theme="1"/>
        <rFont val="Noto Sans CJK SC"/>
        <family val="2"/>
      </rPr>
      <t>】</t>
    </r>
    <r>
      <rPr>
        <sz val="11"/>
        <color theme="1"/>
        <rFont val="Calibri"/>
        <family val="2"/>
        <charset val="1"/>
      </rPr>
      <t>2027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SpaceX</t>
    </r>
    <r>
      <rPr>
        <sz val="11"/>
        <color theme="1"/>
        <rFont val="Noto Sans CJK SC"/>
        <family val="2"/>
      </rPr>
      <t>低軌衛星訂單（法說：明年起顯著貢獻，材料</t>
    </r>
    <r>
      <rPr>
        <sz val="11"/>
        <color theme="1"/>
        <rFont val="Calibri"/>
        <family val="2"/>
        <charset val="1"/>
      </rPr>
      <t>M4/M6/M7</t>
    </r>
    <r>
      <rPr>
        <sz val="11"/>
        <color theme="1"/>
        <rFont val="Noto Sans CJK SC"/>
        <family val="2"/>
      </rPr>
      <t>）尚未納入本模型，待訂單能見度明朗後再上修。
【最脆弱三點】①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Noto Sans CJK SC"/>
        <family val="2"/>
      </rPr>
      <t>能否真的填滿高階產能（需樹脂供應與客戶認證同步到位；</t>
    </r>
    <r>
      <rPr>
        <sz val="11"/>
        <color theme="1"/>
        <rFont val="Calibri"/>
        <family val="2"/>
        <charset val="1"/>
      </rPr>
      <t>2028</t>
    </r>
    <r>
      <rPr>
        <sz val="11"/>
        <color theme="1"/>
        <rFont val="Noto Sans CJK SC"/>
        <family val="2"/>
      </rPr>
      <t>高階線已用</t>
    </r>
    <r>
      <rPr>
        <sz val="11"/>
        <color theme="1"/>
        <rFont val="Calibri"/>
        <family val="2"/>
        <charset val="1"/>
      </rPr>
      <t>95%</t>
    </r>
    <r>
      <rPr>
        <sz val="11"/>
        <color theme="1"/>
        <rFont val="Noto Sans CJK SC"/>
        <family val="2"/>
      </rPr>
      <t>，無再上修空間）②</t>
    </r>
    <r>
      <rPr>
        <sz val="11"/>
        <color theme="1"/>
        <rFont val="Calibri"/>
        <family val="2"/>
        <charset val="1"/>
      </rPr>
      <t>2027</t>
    </r>
    <r>
      <rPr>
        <sz val="11"/>
        <color theme="1"/>
        <rFont val="Noto Sans CJK SC"/>
        <family val="2"/>
      </rPr>
      <t>後漲價循環壽命 ③毛利率</t>
    </r>
    <r>
      <rPr>
        <sz val="11"/>
        <color theme="1"/>
        <rFont val="Calibri"/>
        <family val="2"/>
        <charset val="1"/>
      </rPr>
      <t>2028</t>
    </r>
    <r>
      <rPr>
        <sz val="11"/>
        <color theme="1"/>
        <rFont val="Noto Sans CJK SC"/>
        <family val="2"/>
      </rPr>
      <t>達</t>
    </r>
    <r>
      <rPr>
        <sz val="11"/>
        <color theme="1"/>
        <rFont val="Calibri"/>
        <family val="2"/>
        <charset val="1"/>
      </rPr>
      <t>29.8%</t>
    </r>
    <r>
      <rPr>
        <sz val="11"/>
        <color theme="1"/>
        <rFont val="Noto Sans CJK SC"/>
        <family val="2"/>
      </rPr>
      <t>已貼近公司長線上限。</t>
    </r>
  </si>
  <si>
    <r>
      <rPr>
        <sz val="11"/>
        <color theme="1"/>
        <rFont val="Noto Sans CJK SC"/>
        <family val="2"/>
      </rPr>
      <t>【</t>
    </r>
    <r>
      <rPr>
        <sz val="11"/>
        <color theme="1"/>
        <rFont val="Calibri"/>
        <family val="2"/>
        <charset val="1"/>
      </rPr>
      <t>v3 20260725</t>
    </r>
    <r>
      <rPr>
        <sz val="11"/>
        <color theme="1"/>
        <rFont val="Noto Sans CJK SC"/>
        <family val="2"/>
      </rPr>
      <t>｜依</t>
    </r>
    <r>
      <rPr>
        <sz val="11"/>
        <color theme="1"/>
        <rFont val="Calibri"/>
        <family val="2"/>
        <charset val="1"/>
      </rPr>
      <t>Wallace</t>
    </r>
    <r>
      <rPr>
        <sz val="11"/>
        <color theme="1"/>
        <rFont val="Noto Sans CJK SC"/>
        <family val="2"/>
      </rPr>
      <t>指示改為基本情境】基礎產能</t>
    </r>
    <r>
      <rPr>
        <sz val="11"/>
        <color theme="1"/>
        <rFont val="Calibri"/>
        <family val="2"/>
        <charset val="1"/>
      </rPr>
      <t>235</t>
    </r>
    <r>
      <rPr>
        <sz val="11"/>
        <color theme="1"/>
        <rFont val="Noto Sans CJK SC"/>
        <family val="2"/>
      </rPr>
      <t>萬張維持</t>
    </r>
    <r>
      <rPr>
        <sz val="11"/>
        <color theme="1"/>
        <rFont val="Calibri"/>
        <family val="2"/>
        <charset val="1"/>
      </rPr>
      <t>26Q1</t>
    </r>
    <r>
      <rPr>
        <sz val="11"/>
        <color theme="1"/>
        <rFont val="Noto Sans CJK SC"/>
        <family val="2"/>
      </rPr>
      <t>組合，所有新增產能（→</t>
    </r>
    <r>
      <rPr>
        <sz val="11"/>
        <color theme="1"/>
        <rFont val="Calibri"/>
        <family val="2"/>
        <charset val="1"/>
      </rPr>
      <t>295→380→430</t>
    </r>
    <r>
      <rPr>
        <sz val="11"/>
        <color theme="1"/>
        <rFont val="Noto Sans CJK SC"/>
        <family val="2"/>
      </rPr>
      <t>萬張）全數配置</t>
    </r>
    <r>
      <rPr>
        <sz val="11"/>
        <color theme="1"/>
        <rFont val="Calibri"/>
        <family val="2"/>
        <charset val="1"/>
      </rPr>
      <t>M7+</t>
    </r>
    <r>
      <rPr>
        <sz val="11"/>
        <color theme="1"/>
        <rFont val="Noto Sans CJK SC"/>
        <family val="2"/>
      </rPr>
      <t>。</t>
    </r>
  </si>
  <si>
    <r>
      <rPr>
        <sz val="11"/>
        <color theme="1"/>
        <rFont val="Noto Sans CJK SC"/>
        <family val="2"/>
      </rPr>
      <t>【產能換算】新增銘牌張數係以現行組合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每張</t>
    </r>
    <r>
      <rPr>
        <sz val="11"/>
        <color theme="1"/>
        <rFont val="Calibri"/>
        <family val="2"/>
        <charset val="1"/>
      </rPr>
      <t>1.401</t>
    </r>
    <r>
      <rPr>
        <sz val="11"/>
        <color theme="1"/>
        <rFont val="Noto Sans CJK SC"/>
        <family val="2"/>
      </rPr>
      <t>當量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定義；改走</t>
    </r>
    <r>
      <rPr>
        <sz val="11"/>
        <color theme="1"/>
        <rFont val="Calibri"/>
        <family val="2"/>
        <charset val="1"/>
      </rPr>
      <t>M7+</t>
    </r>
    <r>
      <rPr>
        <sz val="11"/>
        <color theme="1"/>
        <rFont val="Noto Sans CJK SC"/>
        <family val="2"/>
      </rPr>
      <t>後每張當量升至</t>
    </r>
    <r>
      <rPr>
        <sz val="11"/>
        <color theme="1"/>
        <rFont val="Calibri"/>
        <family val="2"/>
        <charset val="1"/>
      </rPr>
      <t>2.20~2.45</t>
    </r>
    <r>
      <rPr>
        <sz val="11"/>
        <color theme="1"/>
        <rFont val="Noto Sans CJK SC"/>
        <family val="2"/>
      </rPr>
      <t>，故實際可產張數需乘以</t>
    </r>
    <r>
      <rPr>
        <sz val="11"/>
        <color theme="1"/>
        <rFont val="Calibri"/>
        <family val="2"/>
        <charset val="1"/>
      </rPr>
      <t>1.401/2.20~2.45</t>
    </r>
    <r>
      <rPr>
        <sz val="11"/>
        <color theme="1"/>
        <rFont val="Noto Sans CJK SC"/>
        <family val="2"/>
      </rPr>
      <t>（約</t>
    </r>
    <r>
      <rPr>
        <sz val="11"/>
        <color theme="1"/>
        <rFont val="Calibri"/>
        <family val="2"/>
        <charset val="1"/>
      </rPr>
      <t>-36%~-43%</t>
    </r>
    <r>
      <rPr>
        <sz val="11"/>
        <color theme="1"/>
        <rFont val="Noto Sans CJK SC"/>
        <family val="2"/>
      </rPr>
      <t>）。</t>
    </r>
    <r>
      <rPr>
        <sz val="11"/>
        <color theme="1"/>
        <rFont val="Calibri"/>
        <family val="2"/>
        <charset val="1"/>
      </rPr>
      <t>2028</t>
    </r>
    <r>
      <rPr>
        <sz val="11"/>
        <color theme="1"/>
        <rFont val="Noto Sans CJK SC"/>
        <family val="2"/>
      </rPr>
      <t>總產出約</t>
    </r>
    <r>
      <rPr>
        <sz val="11"/>
        <color theme="1"/>
        <rFont val="Calibri"/>
        <family val="2"/>
        <charset val="1"/>
      </rPr>
      <t>322</t>
    </r>
    <r>
      <rPr>
        <sz val="11"/>
        <color theme="1"/>
        <rFont val="Noto Sans CJK SC"/>
        <family val="2"/>
      </rPr>
      <t>萬張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月。</t>
    </r>
  </si>
  <si>
    <r>
      <rPr>
        <sz val="11"/>
        <color theme="1"/>
        <rFont val="Noto Sans CJK SC"/>
        <family val="2"/>
      </rPr>
      <t>【重要發現】此設定下</t>
    </r>
    <r>
      <rPr>
        <sz val="11"/>
        <color theme="1"/>
        <rFont val="Calibri"/>
        <family val="2"/>
        <charset val="1"/>
      </rPr>
      <t>2026-2027</t>
    </r>
    <r>
      <rPr>
        <sz val="11"/>
        <color theme="1"/>
        <rFont val="Noto Sans CJK SC"/>
        <family val="2"/>
      </rPr>
      <t>營收</t>
    </r>
    <r>
      <rPr>
        <sz val="11"/>
        <color theme="1"/>
        <rFont val="Calibri"/>
        <family val="2"/>
        <charset val="1"/>
      </rPr>
      <t>(636/1255</t>
    </r>
    <r>
      <rPr>
        <sz val="11"/>
        <color theme="1"/>
        <rFont val="Noto Sans CJK SC"/>
        <family val="2"/>
      </rPr>
      <t>億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已超越法人共識</t>
    </r>
    <r>
      <rPr>
        <sz val="11"/>
        <color theme="1"/>
        <rFont val="Calibri"/>
        <family val="2"/>
        <charset val="1"/>
      </rPr>
      <t>(599/1048</t>
    </r>
    <r>
      <rPr>
        <sz val="11"/>
        <color theme="1"/>
        <rFont val="Noto Sans CJK SC"/>
        <family val="2"/>
      </rPr>
      <t>億</t>
    </r>
    <r>
      <rPr>
        <sz val="11"/>
        <color theme="1"/>
        <rFont val="Calibri"/>
        <family val="2"/>
        <charset val="1"/>
      </rPr>
      <t>)——</t>
    </r>
    <r>
      <rPr>
        <sz val="11"/>
        <color theme="1"/>
        <rFont val="Noto Sans CJK SC"/>
        <family val="2"/>
      </rPr>
      <t>與</t>
    </r>
    <r>
      <rPr>
        <sz val="11"/>
        <color theme="1"/>
        <rFont val="Calibri"/>
        <family val="2"/>
        <charset val="1"/>
      </rPr>
      <t>Wallace 07/18</t>
    </r>
    <r>
      <rPr>
        <sz val="11"/>
        <color theme="1"/>
        <rFont val="Noto Sans CJK SC"/>
        <family val="2"/>
      </rPr>
      <t>『情境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>增量全給</t>
    </r>
    <r>
      <rPr>
        <sz val="11"/>
        <color theme="1"/>
        <rFont val="Calibri"/>
        <family val="2"/>
        <charset val="1"/>
      </rPr>
      <t>M6+</t>
    </r>
    <r>
      <rPr>
        <sz val="11"/>
        <color theme="1"/>
        <rFont val="Noto Sans CJK SC"/>
        <family val="2"/>
      </rPr>
      <t>』分頁的結論一致：法人共識本質上就是『新產能全配高階』這條劇本。</t>
    </r>
  </si>
  <si>
    <r>
      <rPr>
        <sz val="11"/>
        <color theme="1"/>
        <rFont val="Noto Sans CJK SC"/>
        <family val="2"/>
      </rPr>
      <t>【⚠️毛利率已超越產業紀錄】本版</t>
    </r>
    <r>
      <rPr>
        <sz val="11"/>
        <color theme="1"/>
        <rFont val="Calibri"/>
        <family val="2"/>
        <charset val="1"/>
      </rPr>
      <t>2027-28</t>
    </r>
    <r>
      <rPr>
        <sz val="11"/>
        <color theme="1"/>
        <rFont val="Noto Sans CJK SC"/>
        <family val="2"/>
      </rPr>
      <t>毛利率設</t>
    </r>
    <r>
      <rPr>
        <sz val="11"/>
        <color theme="1"/>
        <rFont val="Calibri"/>
        <family val="2"/>
        <charset val="1"/>
      </rPr>
      <t>31-34.6%</t>
    </r>
    <r>
      <rPr>
        <sz val="11"/>
        <color theme="1"/>
        <rFont val="Noto Sans CJK SC"/>
        <family val="2"/>
      </rPr>
      <t>，已高於全產業最高之台光電</t>
    </r>
    <r>
      <rPr>
        <sz val="11"/>
        <color theme="1"/>
        <rFont val="Calibri"/>
        <family val="2"/>
        <charset val="1"/>
      </rPr>
      <t>29.42%</t>
    </r>
    <r>
      <rPr>
        <sz val="11"/>
        <color theme="1"/>
        <rFont val="Noto Sans CJK SC"/>
        <family val="2"/>
      </rPr>
      <t>。理由是</t>
    </r>
    <r>
      <rPr>
        <sz val="11"/>
        <color theme="1"/>
        <rFont val="Calibri"/>
        <family val="2"/>
        <charset val="1"/>
      </rPr>
      <t>ELL+SLL</t>
    </r>
    <r>
      <rPr>
        <sz val="11"/>
        <color theme="1"/>
        <rFont val="Noto Sans CJK SC"/>
        <family val="2"/>
      </rPr>
      <t>營收占比升至</t>
    </r>
    <r>
      <rPr>
        <sz val="11"/>
        <color theme="1"/>
        <rFont val="Calibri"/>
        <family val="2"/>
        <charset val="1"/>
      </rPr>
      <t>76-82%</t>
    </r>
    <r>
      <rPr>
        <sz val="11"/>
        <color theme="1"/>
        <rFont val="Noto Sans CJK SC"/>
        <family val="2"/>
      </rPr>
      <t>，但此為推估、非公司揭露之分部毛利率，屬本模型最脆弱假設。若封頂於</t>
    </r>
    <r>
      <rPr>
        <sz val="11"/>
        <color theme="1"/>
        <rFont val="Calibri"/>
        <family val="2"/>
        <charset val="1"/>
      </rPr>
      <t>29.4%</t>
    </r>
    <r>
      <rPr>
        <sz val="11"/>
        <color theme="1"/>
        <rFont val="Noto Sans CJK SC"/>
        <family val="2"/>
      </rPr>
      <t>，</t>
    </r>
    <r>
      <rPr>
        <sz val="11"/>
        <color theme="1"/>
        <rFont val="Calibri"/>
        <family val="2"/>
        <charset val="1"/>
      </rPr>
      <t>2027-28 EPS</t>
    </r>
    <r>
      <rPr>
        <sz val="11"/>
        <color theme="1"/>
        <rFont val="Noto Sans CJK SC"/>
        <family val="2"/>
      </rPr>
      <t>約降</t>
    </r>
    <r>
      <rPr>
        <sz val="11"/>
        <color theme="1"/>
        <rFont val="Calibri"/>
        <family val="2"/>
        <charset val="1"/>
      </rPr>
      <t>12-15%</t>
    </r>
    <r>
      <rPr>
        <sz val="11"/>
        <color theme="1"/>
        <rFont val="Noto Sans CJK SC"/>
        <family val="2"/>
      </rPr>
      <t>。</t>
    </r>
  </si>
  <si>
    <r>
      <rPr>
        <sz val="11"/>
        <color theme="1"/>
        <rFont val="Noto Sans CJK SC"/>
        <family val="2"/>
      </rPr>
      <t>【稅率】採公司實際有效稅率</t>
    </r>
    <r>
      <rPr>
        <sz val="11"/>
        <color theme="1"/>
        <rFont val="Calibri"/>
        <family val="2"/>
        <charset val="1"/>
      </rPr>
      <t>28%</t>
    </r>
    <r>
      <rPr>
        <sz val="11"/>
        <color theme="1"/>
        <rFont val="Noto Sans CJK SC"/>
        <family val="2"/>
      </rPr>
      <t>；若泰國</t>
    </r>
    <r>
      <rPr>
        <sz val="11"/>
        <color theme="1"/>
        <rFont val="Calibri"/>
        <family val="2"/>
        <charset val="1"/>
      </rPr>
      <t>BOI</t>
    </r>
    <r>
      <rPr>
        <sz val="11"/>
        <color theme="1"/>
        <rFont val="Noto Sans CJK SC"/>
        <family val="2"/>
      </rPr>
      <t>降至</t>
    </r>
    <r>
      <rPr>
        <sz val="11"/>
        <color theme="1"/>
        <rFont val="Calibri"/>
        <family val="2"/>
        <charset val="1"/>
      </rPr>
      <t>20%</t>
    </r>
    <r>
      <rPr>
        <sz val="11"/>
        <color theme="1"/>
        <rFont val="Noto Sans CJK SC"/>
        <family val="2"/>
      </rPr>
      <t>，</t>
    </r>
    <r>
      <rPr>
        <sz val="11"/>
        <color theme="1"/>
        <rFont val="Calibri"/>
        <family val="2"/>
        <charset val="1"/>
      </rPr>
      <t>EPS</t>
    </r>
    <r>
      <rPr>
        <sz val="11"/>
        <color theme="1"/>
        <rFont val="Noto Sans CJK SC"/>
        <family val="2"/>
      </rPr>
      <t>約</t>
    </r>
    <r>
      <rPr>
        <sz val="11"/>
        <color theme="1"/>
        <rFont val="Calibri"/>
        <family val="2"/>
        <charset val="1"/>
      </rPr>
      <t>+11%</t>
    </r>
    <r>
      <rPr>
        <sz val="11"/>
        <color theme="1"/>
        <rFont val="Noto Sans CJK SC"/>
        <family val="2"/>
      </rPr>
      <t>。</t>
    </r>
  </si>
  <si>
    <r>
      <rPr>
        <sz val="11"/>
        <color theme="1"/>
        <rFont val="Noto Sans CJK SC"/>
        <family val="2"/>
      </rPr>
      <t>【與聯茂的方法一致性‧</t>
    </r>
    <r>
      <rPr>
        <sz val="11"/>
        <color theme="1"/>
        <rFont val="Calibri"/>
        <family val="2"/>
        <charset val="1"/>
      </rPr>
      <t>v5</t>
    </r>
    <r>
      <rPr>
        <sz val="11"/>
        <color theme="1"/>
        <rFont val="Noto Sans CJK SC"/>
        <family val="2"/>
      </rPr>
      <t>】價格路徑（</t>
    </r>
    <r>
      <rPr>
        <sz val="11"/>
        <color theme="1"/>
        <rFont val="Calibri"/>
        <family val="2"/>
        <charset val="1"/>
      </rPr>
      <t>26H2 +12.5%/</t>
    </r>
    <r>
      <rPr>
        <sz val="11"/>
        <color theme="1"/>
        <rFont val="Noto Sans CJK SC"/>
        <family val="2"/>
      </rPr>
      <t>季、</t>
    </r>
    <r>
      <rPr>
        <sz val="11"/>
        <color theme="1"/>
        <rFont val="Calibri"/>
        <family val="2"/>
        <charset val="1"/>
      </rPr>
      <t>27H1 +10%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27H2 +6%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28</t>
    </r>
    <r>
      <rPr>
        <sz val="11"/>
        <color theme="1"/>
        <rFont val="Noto Sans CJK SC"/>
        <family val="2"/>
      </rPr>
      <t>持平）、價格指數階梯、壓合工時折扣三者與聯茂完全相同；台燿無公司層級價格</t>
    </r>
    <r>
      <rPr>
        <sz val="11"/>
        <color theme="1"/>
        <rFont val="Calibri"/>
        <family val="2"/>
        <charset val="1"/>
      </rPr>
      <t>guidance</t>
    </r>
    <r>
      <rPr>
        <sz val="11"/>
        <color theme="1"/>
        <rFont val="Noto Sans CJK SC"/>
        <family val="2"/>
      </rPr>
      <t>，其漲價路徑為套用產業路徑（推估）。前版</t>
    </r>
    <r>
      <rPr>
        <sz val="11"/>
        <color theme="1"/>
        <rFont val="Calibri"/>
        <family val="2"/>
        <charset val="1"/>
      </rPr>
      <t>2027</t>
    </r>
    <r>
      <rPr>
        <sz val="11"/>
        <color theme="1"/>
        <rFont val="Noto Sans CJK SC"/>
        <family val="2"/>
      </rPr>
      <t>僅</t>
    </r>
    <r>
      <rPr>
        <sz val="11"/>
        <color theme="1"/>
        <rFont val="Calibri"/>
        <family val="2"/>
        <charset val="1"/>
      </rPr>
      <t>+2.7%/</t>
    </r>
    <r>
      <rPr>
        <sz val="11"/>
        <color theme="1"/>
        <rFont val="Noto Sans CJK SC"/>
        <family val="2"/>
      </rPr>
      <t>季，與建滔『</t>
    </r>
    <r>
      <rPr>
        <sz val="11"/>
        <color theme="1"/>
        <rFont val="Calibri"/>
        <family val="2"/>
        <charset val="1"/>
      </rPr>
      <t>27</t>
    </r>
    <r>
      <rPr>
        <sz val="11"/>
        <color theme="1"/>
        <rFont val="Noto Sans CJK SC"/>
        <family val="2"/>
      </rPr>
      <t>年供需仍難完全解決』不一致，本版已修正。</t>
    </r>
  </si>
  <si>
    <r>
      <rPr>
        <sz val="11"/>
        <color theme="1"/>
        <rFont val="Noto Sans CJK SC"/>
        <family val="2"/>
      </rPr>
      <t>【最脆弱三點】①毛利率能否突破產業紀錄 ②新增產能是否真能全數配置</t>
    </r>
    <r>
      <rPr>
        <sz val="11"/>
        <color theme="1"/>
        <rFont val="Calibri"/>
        <family val="2"/>
        <charset val="1"/>
      </rPr>
      <t>M7+</t>
    </r>
    <r>
      <rPr>
        <sz val="11"/>
        <color theme="1"/>
        <rFont val="Noto Sans CJK SC"/>
        <family val="2"/>
      </rPr>
      <t>（受玻纖布配額限制）③有效稅率。</t>
    </r>
  </si>
  <si>
    <t>漲價路徑敏感度｜其餘假設全部不動</t>
  </si>
  <si>
    <r>
      <rPr>
        <i/>
        <sz val="9"/>
        <color rgb="FF808080"/>
        <rFont val="Noto Sans CJK SC"/>
        <family val="2"/>
      </rPr>
      <t>單位：</t>
    </r>
    <r>
      <rPr>
        <i/>
        <sz val="9"/>
        <color rgb="FF808080"/>
        <rFont val="Arial"/>
        <family val="2"/>
      </rPr>
      <t>EPS(</t>
    </r>
    <r>
      <rPr>
        <i/>
        <sz val="9"/>
        <color rgb="FF808080"/>
        <rFont val="Noto Sans CJK SC"/>
        <family val="2"/>
      </rPr>
      <t>元</t>
    </r>
    <r>
      <rPr>
        <i/>
        <sz val="9"/>
        <color rgb="FF808080"/>
        <rFont val="Arial"/>
        <family val="2"/>
      </rPr>
      <t>)</t>
    </r>
    <r>
      <rPr>
        <i/>
        <sz val="9"/>
        <color rgb="FF808080"/>
        <rFont val="Noto Sans CJK SC"/>
        <family val="2"/>
      </rPr>
      <t>。★</t>
    </r>
    <r>
      <rPr>
        <i/>
        <sz val="9"/>
        <color rgb="FF808080"/>
        <rFont val="Arial"/>
        <family val="2"/>
      </rPr>
      <t>=v6</t>
    </r>
    <r>
      <rPr>
        <i/>
        <sz val="9"/>
        <color rgb="FF808080"/>
        <rFont val="Noto Sans CJK SC"/>
        <family val="2"/>
      </rPr>
      <t>基本情境採用。毛利率在各路徑下維持不變（保守處理），實務上漲價越大毛利率同向擴張，故差距為低估</t>
    </r>
  </si>
  <si>
    <r>
      <rPr>
        <b/>
        <sz val="10"/>
        <rFont val="Noto Sans CJK SC"/>
        <family val="2"/>
      </rPr>
      <t>漲價路徑（</t>
    </r>
    <r>
      <rPr>
        <b/>
        <sz val="10"/>
        <rFont val="Arial"/>
        <family val="2"/>
      </rPr>
      <t>M6</t>
    </r>
    <r>
      <rPr>
        <b/>
        <sz val="10"/>
        <rFont val="Noto Sans CJK SC"/>
        <family val="2"/>
      </rPr>
      <t>當量價季增率）</t>
    </r>
  </si>
  <si>
    <r>
      <rPr>
        <sz val="11"/>
        <color theme="1"/>
        <rFont val="Calibri"/>
        <family val="2"/>
        <charset val="1"/>
      </rPr>
      <t>v5</t>
    </r>
    <r>
      <rPr>
        <sz val="11"/>
        <color theme="1"/>
        <rFont val="Noto Sans CJK SC"/>
        <family val="2"/>
      </rPr>
      <t>版：</t>
    </r>
    <r>
      <rPr>
        <sz val="11"/>
        <color theme="1"/>
        <rFont val="Calibri"/>
        <family val="2"/>
        <charset val="1"/>
      </rPr>
      <t>M6+</t>
    </r>
    <r>
      <rPr>
        <sz val="11"/>
        <color theme="1"/>
        <rFont val="Noto Sans CJK SC"/>
        <family val="2"/>
      </rPr>
      <t>未填滿產能</t>
    </r>
    <r>
      <rPr>
        <sz val="11"/>
        <color theme="1"/>
        <rFont val="Calibri"/>
        <family val="2"/>
        <charset val="1"/>
      </rPr>
      <t>(M7</t>
    </r>
    <r>
      <rPr>
        <sz val="11"/>
        <color theme="1"/>
        <rFont val="Noto Sans CJK SC"/>
        <family val="2"/>
      </rPr>
      <t>僅</t>
    </r>
    <r>
      <rPr>
        <sz val="11"/>
        <color theme="1"/>
        <rFont val="Calibri"/>
        <family val="2"/>
        <charset val="1"/>
      </rPr>
      <t>48.7</t>
    </r>
    <r>
      <rPr>
        <sz val="11"/>
        <color theme="1"/>
        <rFont val="Noto Sans CJK SC"/>
        <family val="2"/>
      </rPr>
      <t>萬張</t>
    </r>
    <r>
      <rPr>
        <sz val="11"/>
        <color theme="1"/>
        <rFont val="Calibri"/>
        <family val="2"/>
        <charset val="1"/>
      </rPr>
      <t>)</t>
    </r>
  </si>
  <si>
    <r>
      <rPr>
        <i/>
        <sz val="9"/>
        <color rgb="FF808080"/>
        <rFont val="Arial"/>
        <family val="2"/>
      </rPr>
      <t>M7</t>
    </r>
    <r>
      <rPr>
        <i/>
        <sz val="9"/>
        <color rgb="FF808080"/>
        <rFont val="Noto Sans CJK SC"/>
        <family val="2"/>
      </rPr>
      <t>受限於單一樹脂通路，低估</t>
    </r>
  </si>
  <si>
    <r>
      <rPr>
        <b/>
        <sz val="10"/>
        <color rgb="FF1A2540"/>
        <rFont val="Arial"/>
        <family val="2"/>
      </rPr>
      <t>★v6</t>
    </r>
    <r>
      <rPr>
        <b/>
        <sz val="10"/>
        <color rgb="FF1A2540"/>
        <rFont val="Noto Sans CJK SC"/>
        <family val="2"/>
      </rPr>
      <t>基本：</t>
    </r>
    <r>
      <rPr>
        <b/>
        <sz val="10"/>
        <color rgb="FF1A2540"/>
        <rFont val="Arial"/>
        <family val="2"/>
      </rPr>
      <t>M7+</t>
    </r>
    <r>
      <rPr>
        <b/>
        <sz val="10"/>
        <color rgb="FF1A2540"/>
        <rFont val="Noto Sans CJK SC"/>
        <family val="2"/>
      </rPr>
      <t>填滿高階產能＋漲價延續</t>
    </r>
  </si>
  <si>
    <r>
      <rPr>
        <i/>
        <sz val="9"/>
        <color rgb="FF808080"/>
        <rFont val="Noto Sans CJK SC"/>
        <family val="2"/>
      </rPr>
      <t>聯茂</t>
    </r>
    <r>
      <rPr>
        <i/>
        <sz val="9"/>
        <color rgb="FF808080"/>
        <rFont val="Arial"/>
        <family val="2"/>
      </rPr>
      <t>2027H2</t>
    </r>
    <r>
      <rPr>
        <i/>
        <sz val="9"/>
        <color rgb="FF808080"/>
        <rFont val="Noto Sans CJK SC"/>
        <family val="2"/>
      </rPr>
      <t>起</t>
    </r>
    <r>
      <rPr>
        <i/>
        <sz val="9"/>
        <color rgb="FF808080"/>
        <rFont val="Arial"/>
        <family val="2"/>
      </rPr>
      <t>M7 177.8</t>
    </r>
    <r>
      <rPr>
        <i/>
        <sz val="9"/>
        <color rgb="FF808080"/>
        <rFont val="Noto Sans CJK SC"/>
        <family val="2"/>
      </rPr>
      <t>萬張；台燿未變</t>
    </r>
  </si>
  <si>
    <r>
      <rPr>
        <sz val="11"/>
        <color theme="1"/>
        <rFont val="Noto Sans CJK SC"/>
        <family val="2"/>
      </rPr>
      <t>溫和：</t>
    </r>
    <r>
      <rPr>
        <sz val="11"/>
        <color theme="1"/>
        <rFont val="Calibri"/>
        <family val="2"/>
        <charset val="1"/>
      </rPr>
      <t>26H2+10%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27H1+8%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27H2+4%</t>
    </r>
    <r>
      <rPr>
        <sz val="11"/>
        <color theme="1"/>
        <rFont val="Noto Sans CJK SC"/>
        <family val="2"/>
      </rPr>
      <t>、</t>
    </r>
    <r>
      <rPr>
        <sz val="11"/>
        <color theme="1"/>
        <rFont val="Calibri"/>
        <family val="2"/>
        <charset val="1"/>
      </rPr>
      <t>28 -2%/</t>
    </r>
    <r>
      <rPr>
        <sz val="11"/>
        <color theme="1"/>
        <rFont val="Noto Sans CJK SC"/>
        <family val="2"/>
      </rPr>
      <t>季</t>
    </r>
  </si>
  <si>
    <t>若漲價提前鈍化</t>
  </si>
  <si>
    <r>
      <rPr>
        <sz val="11"/>
        <color theme="1"/>
        <rFont val="Noto Sans CJK SC"/>
        <family val="2"/>
      </rPr>
      <t>極端：全期</t>
    </r>
    <r>
      <rPr>
        <sz val="11"/>
        <color theme="1"/>
        <rFont val="Calibri"/>
        <family val="2"/>
        <charset val="1"/>
      </rPr>
      <t>+12.5%/</t>
    </r>
    <r>
      <rPr>
        <sz val="11"/>
        <color theme="1"/>
        <rFont val="Noto Sans CJK SC"/>
        <family val="2"/>
      </rPr>
      <t>季不衰減</t>
    </r>
  </si>
  <si>
    <t>僅供上界參考，物理上不可持續</t>
  </si>
  <si>
    <t>法人共識</t>
  </si>
  <si>
    <t>【證據盤點：漲價循環會延續多久】</t>
  </si>
  <si>
    <r>
      <rPr>
        <i/>
        <sz val="9"/>
        <color rgb="FF808080"/>
        <rFont val="Noto Sans CJK SC"/>
        <family val="2"/>
      </rPr>
      <t>• 聯茂法說</t>
    </r>
    <r>
      <rPr>
        <i/>
        <sz val="9"/>
        <color rgb="FF808080"/>
        <rFont val="Arial"/>
        <family val="2"/>
      </rPr>
      <t>(07/02)</t>
    </r>
    <r>
      <rPr>
        <i/>
        <sz val="9"/>
        <color rgb="FF808080"/>
        <rFont val="Noto Sans CJK SC"/>
        <family val="2"/>
      </rPr>
      <t>：『接下來漲價的模式應該還是一樣，每一季都會漲』『下半年每季保守抓</t>
    </r>
    <r>
      <rPr>
        <i/>
        <sz val="9"/>
        <color rgb="FF808080"/>
        <rFont val="Arial"/>
        <family val="2"/>
      </rPr>
      <t>10</t>
    </r>
    <r>
      <rPr>
        <i/>
        <sz val="9"/>
        <color rgb="FF808080"/>
        <rFont val="Noto Sans CJK SC"/>
        <family val="2"/>
      </rPr>
      <t>到</t>
    </r>
    <r>
      <rPr>
        <i/>
        <sz val="9"/>
        <color rgb="FF808080"/>
        <rFont val="Arial"/>
        <family val="2"/>
      </rPr>
      <t>15%</t>
    </r>
    <r>
      <rPr>
        <i/>
        <sz val="9"/>
        <color rgb="FF808080"/>
        <rFont val="Noto Sans CJK SC"/>
        <family val="2"/>
      </rPr>
      <t>』</t>
    </r>
  </si>
  <si>
    <r>
      <rPr>
        <i/>
        <sz val="9"/>
        <color rgb="FF808080"/>
        <rFont val="Noto Sans CJK SC"/>
        <family val="2"/>
      </rPr>
      <t>• 聯茂法說：『我們覺得接下來整理有到十二個月可能都還不容易』（自</t>
    </r>
    <r>
      <rPr>
        <i/>
        <sz val="9"/>
        <color rgb="FF808080"/>
        <rFont val="Arial"/>
        <family val="2"/>
      </rPr>
      <t>2026/07</t>
    </r>
    <r>
      <rPr>
        <i/>
        <sz val="9"/>
        <color rgb="FF808080"/>
        <rFont val="Noto Sans CJK SC"/>
        <family val="2"/>
      </rPr>
      <t>起算 → 延續至</t>
    </r>
    <r>
      <rPr>
        <i/>
        <sz val="9"/>
        <color rgb="FF808080"/>
        <rFont val="Arial"/>
        <family val="2"/>
      </rPr>
      <t>2027</t>
    </r>
    <r>
      <rPr>
        <i/>
        <sz val="9"/>
        <color rgb="FF808080"/>
        <rFont val="Noto Sans CJK SC"/>
        <family val="2"/>
      </rPr>
      <t>年中）</t>
    </r>
  </si>
  <si>
    <r>
      <rPr>
        <i/>
        <sz val="9"/>
        <color rgb="FF808080"/>
        <rFont val="Noto Sans CJK SC"/>
        <family val="2"/>
      </rPr>
      <t>• 聯茂法說：『如果玻纖布一年之後沒那麼缺，</t>
    </r>
    <r>
      <rPr>
        <i/>
        <sz val="9"/>
        <color rgb="FF808080"/>
        <rFont val="Arial"/>
        <family val="2"/>
      </rPr>
      <t>30%</t>
    </r>
    <r>
      <rPr>
        <i/>
        <sz val="9"/>
        <color rgb="FF808080"/>
        <rFont val="Noto Sans CJK SC"/>
        <family val="2"/>
      </rPr>
      <t>毛利率可達成；但以現在看</t>
    </r>
    <r>
      <rPr>
        <i/>
        <sz val="9"/>
        <color rgb="FF808080"/>
        <rFont val="Arial"/>
        <family val="2"/>
      </rPr>
      <t>6</t>
    </r>
    <r>
      <rPr>
        <i/>
        <sz val="9"/>
        <color rgb="FF808080"/>
        <rFont val="Noto Sans CJK SC"/>
        <family val="2"/>
      </rPr>
      <t>到</t>
    </r>
    <r>
      <rPr>
        <i/>
        <sz val="9"/>
        <color rgb="FF808080"/>
        <rFont val="Arial"/>
        <family val="2"/>
      </rPr>
      <t>12</t>
    </r>
    <r>
      <rPr>
        <i/>
        <sz val="9"/>
        <color rgb="FF808080"/>
        <rFont val="Noto Sans CJK SC"/>
        <family val="2"/>
      </rPr>
      <t>個月不會完全緩解』</t>
    </r>
  </si>
  <si>
    <r>
      <rPr>
        <i/>
        <sz val="9"/>
        <color rgb="FF808080"/>
        <rFont val="Noto Sans CJK SC"/>
        <family val="2"/>
      </rPr>
      <t>• 建滔專家會議</t>
    </r>
    <r>
      <rPr>
        <i/>
        <sz val="9"/>
        <color rgb="FF808080"/>
        <rFont val="Arial"/>
        <family val="2"/>
      </rPr>
      <t>(06/20)</t>
    </r>
    <r>
      <rPr>
        <i/>
        <sz val="9"/>
        <color rgb="FF808080"/>
        <rFont val="Noto Sans CJK SC"/>
        <family val="2"/>
      </rPr>
      <t>：『電子布到</t>
    </r>
    <r>
      <rPr>
        <i/>
        <sz val="9"/>
        <color rgb="FF808080"/>
        <rFont val="Arial"/>
        <family val="2"/>
      </rPr>
      <t>27</t>
    </r>
    <r>
      <rPr>
        <i/>
        <sz val="9"/>
        <color rgb="FF808080"/>
        <rFont val="Noto Sans CJK SC"/>
        <family val="2"/>
      </rPr>
      <t>年的供需預計不會太快恢復平衡』『</t>
    </r>
    <r>
      <rPr>
        <i/>
        <sz val="9"/>
        <color rgb="FF808080"/>
        <rFont val="Arial"/>
        <family val="2"/>
      </rPr>
      <t>27</t>
    </r>
    <r>
      <rPr>
        <i/>
        <sz val="9"/>
        <color rgb="FF808080"/>
        <rFont val="Noto Sans CJK SC"/>
        <family val="2"/>
      </rPr>
      <t>年供需問題仍難以完全解決』</t>
    </r>
  </si>
  <si>
    <r>
      <rPr>
        <i/>
        <sz val="9"/>
        <color rgb="FF808080"/>
        <rFont val="Noto Sans CJK SC"/>
        <family val="2"/>
      </rPr>
      <t>• 建滔：織布機為最大瓶頸，</t>
    </r>
    <r>
      <rPr>
        <i/>
        <sz val="9"/>
        <color rgb="FF808080"/>
        <rFont val="Arial"/>
        <family val="2"/>
      </rPr>
      <t>Toyota</t>
    </r>
    <r>
      <rPr>
        <i/>
        <sz val="9"/>
        <color rgb="FF808080"/>
        <rFont val="Noto Sans CJK SC"/>
        <family val="2"/>
      </rPr>
      <t>全球年產值僅約</t>
    </r>
    <r>
      <rPr>
        <i/>
        <sz val="9"/>
        <color rgb="FF808080"/>
        <rFont val="Arial"/>
        <family val="2"/>
      </rPr>
      <t>2000</t>
    </r>
    <r>
      <rPr>
        <i/>
        <sz val="9"/>
        <color rgb="FF808080"/>
        <rFont val="Noto Sans CJK SC"/>
        <family val="2"/>
      </rPr>
      <t>台；高階布擠壓傳統布產能</t>
    </r>
  </si>
  <si>
    <r>
      <rPr>
        <i/>
        <sz val="9"/>
        <color rgb="FF808080"/>
        <rFont val="Noto Sans CJK SC"/>
        <family val="2"/>
      </rPr>
      <t>• 建滔：</t>
    </r>
    <r>
      <rPr>
        <i/>
        <sz val="9"/>
        <color rgb="FF808080"/>
        <rFont val="Arial"/>
        <family val="2"/>
      </rPr>
      <t>A</t>
    </r>
    <r>
      <rPr>
        <i/>
        <sz val="9"/>
        <color rgb="FF808080"/>
        <rFont val="Noto Sans CJK SC"/>
        <family val="2"/>
      </rPr>
      <t>公司</t>
    </r>
    <r>
      <rPr>
        <i/>
        <sz val="9"/>
        <color rgb="FF808080"/>
        <rFont val="Arial"/>
        <family val="2"/>
      </rPr>
      <t>26H1</t>
    </r>
    <r>
      <rPr>
        <i/>
        <sz val="9"/>
        <color rgb="FF808080"/>
        <rFont val="Noto Sans CJK SC"/>
        <family val="2"/>
      </rPr>
      <t>已漲價</t>
    </r>
    <r>
      <rPr>
        <i/>
        <sz val="9"/>
        <color rgb="FF808080"/>
        <rFont val="Arial"/>
        <family val="2"/>
      </rPr>
      <t>5</t>
    </r>
    <r>
      <rPr>
        <i/>
        <sz val="9"/>
        <color rgb="FF808080"/>
        <rFont val="Noto Sans CJK SC"/>
        <family val="2"/>
      </rPr>
      <t>次、累計</t>
    </r>
    <r>
      <rPr>
        <i/>
        <sz val="9"/>
        <color rgb="FF808080"/>
        <rFont val="Arial"/>
        <family val="2"/>
      </rPr>
      <t>70-80%</t>
    </r>
    <r>
      <rPr>
        <i/>
        <sz val="9"/>
        <color rgb="FF808080"/>
        <rFont val="Noto Sans CJK SC"/>
        <family val="2"/>
      </rPr>
      <t>，『</t>
    </r>
    <r>
      <rPr>
        <i/>
        <sz val="9"/>
        <color rgb="FF808080"/>
        <rFont val="Arial"/>
        <family val="2"/>
      </rPr>
      <t>2H26</t>
    </r>
    <r>
      <rPr>
        <i/>
        <sz val="9"/>
        <color rgb="FF808080"/>
        <rFont val="Noto Sans CJK SC"/>
        <family val="2"/>
      </rPr>
      <t>進入旺季後漲價將更容易』</t>
    </r>
  </si>
  <si>
    <r>
      <rPr>
        <i/>
        <sz val="9"/>
        <color rgb="FF808080"/>
        <rFont val="Noto Sans CJK SC"/>
        <family val="2"/>
      </rPr>
      <t>• → 所有一手來源都指向「至少延續到</t>
    </r>
    <r>
      <rPr>
        <i/>
        <sz val="9"/>
        <color rgb="FF808080"/>
        <rFont val="Arial"/>
        <family val="2"/>
      </rPr>
      <t>2027</t>
    </r>
    <r>
      <rPr>
        <i/>
        <sz val="9"/>
        <color rgb="FF808080"/>
        <rFont val="Noto Sans CJK SC"/>
        <family val="2"/>
      </rPr>
      <t>年年中」。</t>
    </r>
    <r>
      <rPr>
        <i/>
        <sz val="9"/>
        <color rgb="FF808080"/>
        <rFont val="Arial"/>
        <family val="2"/>
      </rPr>
      <t xml:space="preserve">v5 </t>
    </r>
    <r>
      <rPr>
        <i/>
        <sz val="9"/>
        <color rgb="FF808080"/>
        <rFont val="Noto Sans CJK SC"/>
        <family val="2"/>
      </rPr>
      <t>據此把</t>
    </r>
    <r>
      <rPr>
        <i/>
        <sz val="9"/>
        <color rgb="FF808080"/>
        <rFont val="Arial"/>
        <family val="2"/>
      </rPr>
      <t>2027</t>
    </r>
    <r>
      <rPr>
        <i/>
        <sz val="9"/>
        <color rgb="FF808080"/>
        <rFont val="Noto Sans CJK SC"/>
        <family val="2"/>
      </rPr>
      <t>納入漲價，</t>
    </r>
    <r>
      <rPr>
        <i/>
        <sz val="9"/>
        <color rgb="FF808080"/>
        <rFont val="Arial"/>
        <family val="2"/>
      </rPr>
      <t>2028</t>
    </r>
    <r>
      <rPr>
        <i/>
        <sz val="9"/>
        <color rgb="FF808080"/>
        <rFont val="Noto Sans CJK SC"/>
        <family val="2"/>
      </rPr>
      <t>仍設持平作為保守墊。</t>
    </r>
  </si>
  <si>
    <r>
      <t>M7</t>
    </r>
    <r>
      <rPr>
        <sz val="11"/>
        <color theme="1"/>
        <rFont val="微軟正黑體"/>
        <family val="2"/>
        <charset val="136"/>
      </rPr>
      <t>能否填滿產能：需樹脂</t>
    </r>
    <r>
      <rPr>
        <sz val="11"/>
        <color theme="1"/>
        <rFont val="Calibri"/>
        <family val="2"/>
        <charset val="1"/>
      </rPr>
      <t>288→452</t>
    </r>
    <r>
      <rPr>
        <sz val="11"/>
        <color theme="1"/>
        <rFont val="微軟正黑體"/>
        <family val="2"/>
        <charset val="136"/>
      </rPr>
      <t>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微軟正黑體"/>
        <family val="2"/>
        <charset val="136"/>
      </rPr>
      <t>月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微軟正黑體"/>
        <family val="2"/>
        <charset val="136"/>
      </rPr>
      <t>聯茂另有</t>
    </r>
    <r>
      <rPr>
        <sz val="11"/>
        <color theme="1"/>
        <rFont val="Calibri"/>
        <family val="2"/>
        <charset val="1"/>
      </rPr>
      <t>SABIC/MGC/</t>
    </r>
    <r>
      <rPr>
        <sz val="11"/>
        <color theme="1"/>
        <rFont val="微軟正黑體"/>
        <family val="2"/>
        <charset val="136"/>
      </rPr>
      <t>雙鍵來源</t>
    </r>
    <r>
      <rPr>
        <sz val="11"/>
        <color theme="1"/>
        <rFont val="Calibri"/>
        <family val="2"/>
        <charset val="1"/>
      </rPr>
      <t>)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</si>
</sst>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"/>
    <numFmt numFmtId="177" formatCode="0.0%"/>
    <numFmt numFmtId="178" formatCode="\+0.0%;\-0.0%"/>
    <numFmt numFmtId="179" formatCode="0.0"/>
    <numFmt numFmtId="180" formatCode="0.0000"/>
  </numFmts>
  <fonts count="16">
    <font>
      <sz val="11"/>
      <color theme="1"/>
      <name val="Calibri"/>
      <family val="2"/>
      <charset val="1"/>
    </font>
    <font>
      <b/>
      <sz val="14"/>
      <color rgb="FF1A2540"/>
      <name val="Noto Sans CJK SC"/>
      <family val="2"/>
    </font>
    <font>
      <b/>
      <sz val="14"/>
      <color rgb="FF1A2540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1"/>
      <color rgb="FFFFFFFF"/>
      <name val="Noto Sans CJK SC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11"/>
      <color theme="1"/>
      <name val="Noto Sans CJK SC"/>
      <family val="2"/>
    </font>
    <font>
      <b/>
      <sz val="11"/>
      <color rgb="FFFFFFFF"/>
      <name val="Arial"/>
      <family val="2"/>
    </font>
    <font>
      <b/>
      <sz val="10"/>
      <color rgb="FF1A2540"/>
      <name val="Arial"/>
      <family val="2"/>
    </font>
    <font>
      <b/>
      <sz val="10"/>
      <color rgb="FF1A2540"/>
      <name val="Noto Sans CJK SC"/>
      <family val="2"/>
    </font>
    <font>
      <b/>
      <sz val="11"/>
      <name val="Cambria"/>
      <family val="1"/>
    </font>
    <font>
      <b/>
      <sz val="11"/>
      <name val="Noto Sans CJK SC"/>
      <family val="2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1A2540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F7D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7DD"/>
      </patternFill>
    </fill>
    <fill>
      <patternFill patternType="solid">
        <fgColor rgb="FFFFF7DD"/>
        <b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9" fillId="2" borderId="0" xfId="0" applyFont="1" applyFill="1" applyBorder="1"/>
    <xf numFmtId="0" fontId="5" fillId="2" borderId="0" xfId="0" applyFont="1" applyFill="1" applyBorder="1"/>
    <xf numFmtId="0" fontId="1" fillId="0" borderId="0" xfId="0" applyFont="1"/>
    <xf numFmtId="0" fontId="3" fillId="0" borderId="0" xfId="0" applyFont="1"/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0" borderId="1" xfId="0" applyFont="1" applyBorder="1"/>
    <xf numFmtId="0" fontId="8" fillId="0" borderId="1" xfId="0" applyFont="1" applyBorder="1"/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3" fillId="0" borderId="1" xfId="0" applyFont="1" applyBorder="1"/>
    <xf numFmtId="0" fontId="0" fillId="0" borderId="1" xfId="0" applyFont="1" applyBorder="1" applyAlignment="1">
      <alignment horizontal="center"/>
    </xf>
    <xf numFmtId="0" fontId="6" fillId="4" borderId="1" xfId="0" applyFont="1" applyFill="1" applyBorder="1"/>
    <xf numFmtId="2" fontId="7" fillId="4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8" fontId="7" fillId="0" borderId="1" xfId="0" applyNumberFormat="1" applyFont="1" applyBorder="1" applyAlignment="1">
      <alignment horizontal="center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/>
    </xf>
    <xf numFmtId="0" fontId="0" fillId="0" borderId="1" xfId="0" applyFont="1" applyBorder="1"/>
    <xf numFmtId="0" fontId="4" fillId="0" borderId="0" xfId="0" applyFont="1"/>
    <xf numFmtId="0" fontId="10" fillId="5" borderId="1" xfId="0" applyFont="1" applyFill="1" applyBorder="1"/>
    <xf numFmtId="0" fontId="8" fillId="0" borderId="0" xfId="0" applyFont="1"/>
    <xf numFmtId="0" fontId="12" fillId="0" borderId="0" xfId="0" applyFont="1"/>
    <xf numFmtId="0" fontId="13" fillId="0" borderId="0" xfId="0" applyFont="1"/>
    <xf numFmtId="2" fontId="0" fillId="7" borderId="0" xfId="0" applyNumberFormat="1" applyFill="1"/>
    <xf numFmtId="2" fontId="0" fillId="8" borderId="0" xfId="0" applyNumberFormat="1" applyFill="1"/>
    <xf numFmtId="2" fontId="0" fillId="0" borderId="0" xfId="0" applyNumberFormat="1"/>
    <xf numFmtId="10" fontId="0" fillId="0" borderId="0" xfId="0" applyNumberFormat="1"/>
    <xf numFmtId="180" fontId="0" fillId="0" borderId="0" xfId="0" applyNumberFormat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2" fontId="10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6" fillId="3" borderId="1" xfId="0" applyFont="1" applyFill="1" applyBorder="1"/>
    <xf numFmtId="2" fontId="7" fillId="3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5" fillId="2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177" fontId="0" fillId="0" borderId="1" xfId="0" applyNumberFormat="1" applyBorder="1" applyAlignment="1">
      <alignment horizontal="center" wrapText="1"/>
    </xf>
    <xf numFmtId="179" fontId="0" fillId="0" borderId="1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0" fontId="7" fillId="0" borderId="1" xfId="0" applyFont="1" applyBorder="1" applyAlignment="1">
      <alignment wrapText="1"/>
    </xf>
    <xf numFmtId="177" fontId="0" fillId="4" borderId="1" xfId="0" applyNumberFormat="1" applyFill="1" applyBorder="1" applyAlignment="1">
      <alignment horizontal="center" wrapText="1"/>
    </xf>
    <xf numFmtId="179" fontId="0" fillId="4" borderId="1" xfId="0" applyNumberFormat="1" applyFill="1" applyBorder="1" applyAlignment="1">
      <alignment horizontal="center" wrapText="1"/>
    </xf>
    <xf numFmtId="3" fontId="0" fillId="4" borderId="1" xfId="0" applyNumberFormat="1" applyFill="1" applyBorder="1" applyAlignment="1">
      <alignment horizontal="center" wrapText="1"/>
    </xf>
    <xf numFmtId="0" fontId="10" fillId="5" borderId="1" xfId="0" applyFont="1" applyFill="1" applyBorder="1" applyAlignment="1">
      <alignment wrapText="1"/>
    </xf>
    <xf numFmtId="0" fontId="0" fillId="0" borderId="1" xfId="0" applyFont="1" applyBorder="1" applyAlignment="1">
      <alignment horizontal="center" wrapText="1"/>
    </xf>
    <xf numFmtId="177" fontId="10" fillId="5" borderId="1" xfId="0" applyNumberFormat="1" applyFont="1" applyFill="1" applyBorder="1" applyAlignment="1">
      <alignment horizontal="center" wrapText="1"/>
    </xf>
    <xf numFmtId="179" fontId="10" fillId="5" borderId="1" xfId="0" applyNumberFormat="1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7D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5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zoomScaleNormal="100" workbookViewId="0">
      <pane ySplit="4" topLeftCell="A5" activePane="bottomLeft" state="frozen"/>
      <selection pane="bottomLeft" activeCell="B39" sqref="B39"/>
    </sheetView>
  </sheetViews>
  <sheetFormatPr defaultColWidth="8.6640625" defaultRowHeight="14.4"/>
  <cols>
    <col min="1" max="1" width="30" customWidth="1"/>
    <col min="2" max="2" width="52.6640625" customWidth="1"/>
    <col min="3" max="3" width="41" customWidth="1"/>
    <col min="4" max="7" width="13" customWidth="1"/>
  </cols>
  <sheetData>
    <row r="1" spans="1:12" ht="17.399999999999999">
      <c r="A1" s="3" t="s">
        <v>0</v>
      </c>
    </row>
    <row r="2" spans="1:12">
      <c r="A2" s="4" t="s">
        <v>1</v>
      </c>
    </row>
    <row r="3" spans="1:12">
      <c r="A3" s="4" t="s">
        <v>2</v>
      </c>
    </row>
    <row r="5" spans="1:12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5" t="s">
        <v>4</v>
      </c>
      <c r="B6" s="5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12">
      <c r="A7" s="7" t="s">
        <v>11</v>
      </c>
      <c r="B7" s="8" t="s">
        <v>12</v>
      </c>
      <c r="C7" s="9">
        <f>聯茂6213_月度模型!AL2</f>
        <v>534.51</v>
      </c>
      <c r="D7" s="9">
        <f>聯茂6213_月度模型!AM2</f>
        <v>1132.8399999999999</v>
      </c>
      <c r="E7" s="9">
        <f>聯茂6213_月度模型!AN2</f>
        <v>1589.6400000000003</v>
      </c>
      <c r="F7" s="10">
        <f>D7/C7-1</f>
        <v>1.1193990757890404</v>
      </c>
      <c r="G7" s="10">
        <f>E7/D7-1</f>
        <v>0.40323434906959532</v>
      </c>
    </row>
    <row r="8" spans="1:12">
      <c r="A8" s="7" t="s">
        <v>13</v>
      </c>
      <c r="B8" s="8" t="s">
        <v>12</v>
      </c>
      <c r="C8" s="9">
        <f>台燿6274_月度模型!AL2</f>
        <v>647.61999999999989</v>
      </c>
      <c r="D8" s="9">
        <f>台燿6274_月度模型!AM2</f>
        <v>1418.2</v>
      </c>
      <c r="E8" s="9">
        <f>台燿6274_月度模型!AN2</f>
        <v>2027.44</v>
      </c>
      <c r="F8" s="10">
        <f>D8/C8-1</f>
        <v>1.1898644266699612</v>
      </c>
      <c r="G8" s="10">
        <f>E8/D8-1</f>
        <v>0.42958680016922868</v>
      </c>
    </row>
    <row r="9" spans="1:12">
      <c r="A9" s="11" t="s">
        <v>14</v>
      </c>
      <c r="B9" s="11" t="s">
        <v>15</v>
      </c>
      <c r="C9" s="12" t="s">
        <v>16</v>
      </c>
      <c r="D9" s="12" t="s">
        <v>16</v>
      </c>
      <c r="E9" s="12" t="s">
        <v>16</v>
      </c>
      <c r="F9" s="11" t="s">
        <v>17</v>
      </c>
    </row>
    <row r="11" spans="1:12">
      <c r="A11" s="1" t="s">
        <v>18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5" t="s">
        <v>4</v>
      </c>
      <c r="B12" s="5" t="s">
        <v>5</v>
      </c>
      <c r="C12" s="6" t="s">
        <v>6</v>
      </c>
      <c r="D12" s="6" t="s">
        <v>7</v>
      </c>
      <c r="E12" s="6" t="s">
        <v>8</v>
      </c>
      <c r="F12" s="5" t="s">
        <v>19</v>
      </c>
    </row>
    <row r="13" spans="1:12">
      <c r="A13" s="7" t="s">
        <v>11</v>
      </c>
      <c r="B13" s="13" t="s">
        <v>20</v>
      </c>
      <c r="C13" s="14">
        <f>聯茂6213_月度模型!AL19</f>
        <v>12.744113351306744</v>
      </c>
      <c r="D13" s="14">
        <f>聯茂6213_月度模型!AM19</f>
        <v>44.873932324621748</v>
      </c>
      <c r="E13" s="14">
        <f>聯茂6213_月度模型!AN19</f>
        <v>72.209915504814319</v>
      </c>
      <c r="F13" s="11"/>
    </row>
    <row r="14" spans="1:12">
      <c r="B14" s="8" t="s">
        <v>21</v>
      </c>
      <c r="C14" s="15">
        <f>聯茂6213_月度模型!AO19</f>
        <v>9.5399999999999991</v>
      </c>
      <c r="D14" s="15">
        <f>聯茂6213_月度模型!AP19</f>
        <v>17.14</v>
      </c>
      <c r="E14" s="15">
        <f>聯茂6213_月度模型!AQ19</f>
        <v>14.8</v>
      </c>
      <c r="F14" s="11" t="s">
        <v>22</v>
      </c>
    </row>
    <row r="15" spans="1:12">
      <c r="B15" s="7" t="s">
        <v>23</v>
      </c>
      <c r="C15" s="16">
        <f>C13/C14-1</f>
        <v>0.33586093829211161</v>
      </c>
      <c r="D15" s="16">
        <f>D13/D14-1</f>
        <v>1.6180823993361577</v>
      </c>
      <c r="E15" s="16">
        <f>E13/E14-1</f>
        <v>3.8790483449198865</v>
      </c>
      <c r="F15" s="11" t="s">
        <v>24</v>
      </c>
    </row>
    <row r="16" spans="1:12">
      <c r="B16" s="17" t="s">
        <v>25</v>
      </c>
      <c r="C16" s="18">
        <v>12.5</v>
      </c>
      <c r="D16" s="18">
        <v>27.55</v>
      </c>
      <c r="E16" s="18">
        <v>39</v>
      </c>
      <c r="F16" s="17" t="s">
        <v>26</v>
      </c>
    </row>
    <row r="18" spans="1:12">
      <c r="A18" s="7" t="s">
        <v>13</v>
      </c>
      <c r="B18" s="13" t="s">
        <v>20</v>
      </c>
      <c r="C18" s="14">
        <f>台燿6274_月度模型!AL19</f>
        <v>32.810012023320454</v>
      </c>
      <c r="D18" s="14">
        <f>台燿6274_月度模型!AM19</f>
        <v>89.093254820713341</v>
      </c>
      <c r="E18" s="14">
        <f>台燿6274_月度模型!AN19</f>
        <v>138.18572322887212</v>
      </c>
      <c r="F18" s="11"/>
    </row>
    <row r="19" spans="1:12">
      <c r="B19" s="8" t="s">
        <v>21</v>
      </c>
      <c r="C19" s="15">
        <f>台燿6274_月度模型!AO19</f>
        <v>35.270000000000003</v>
      </c>
      <c r="D19" s="15">
        <f>台燿6274_月度模型!AP19</f>
        <v>76.400000000000006</v>
      </c>
      <c r="E19" s="15">
        <f>台燿6274_月度模型!AQ19</f>
        <v>128.94999999999999</v>
      </c>
      <c r="F19" s="11" t="s">
        <v>22</v>
      </c>
    </row>
    <row r="20" spans="1:12">
      <c r="B20" s="7" t="s">
        <v>23</v>
      </c>
      <c r="C20" s="16">
        <f>C18/C19-1</f>
        <v>-6.9747320007925939E-2</v>
      </c>
      <c r="D20" s="16">
        <f>D18/D19-1</f>
        <v>0.16614207880514842</v>
      </c>
      <c r="E20" s="16">
        <f>E18/E19-1</f>
        <v>7.1622514376674218E-2</v>
      </c>
      <c r="F20" s="11" t="s">
        <v>24</v>
      </c>
    </row>
    <row r="21" spans="1:12">
      <c r="B21" s="17" t="s">
        <v>25</v>
      </c>
      <c r="C21" s="18">
        <v>32.19</v>
      </c>
      <c r="D21" s="18">
        <v>77.62</v>
      </c>
      <c r="E21" s="18">
        <v>116.75</v>
      </c>
      <c r="F21" s="17" t="s">
        <v>26</v>
      </c>
    </row>
    <row r="23" spans="1:12">
      <c r="A23" s="2" t="s">
        <v>27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5" t="s">
        <v>5</v>
      </c>
      <c r="B24" s="5" t="s">
        <v>11</v>
      </c>
      <c r="C24" s="5" t="s">
        <v>13</v>
      </c>
    </row>
    <row r="25" spans="1:12" ht="28.8">
      <c r="A25" s="7" t="s">
        <v>28</v>
      </c>
      <c r="B25" s="37" t="s">
        <v>29</v>
      </c>
      <c r="C25" s="38" t="s">
        <v>30</v>
      </c>
      <c r="D25" s="39"/>
    </row>
    <row r="26" spans="1:12" ht="28.8">
      <c r="A26" s="7" t="s">
        <v>31</v>
      </c>
      <c r="B26" s="38" t="s">
        <v>32</v>
      </c>
      <c r="C26" s="38" t="s">
        <v>33</v>
      </c>
      <c r="D26" s="39"/>
    </row>
    <row r="27" spans="1:12" ht="28.8">
      <c r="A27" s="7" t="s">
        <v>34</v>
      </c>
      <c r="B27" s="37" t="s">
        <v>207</v>
      </c>
      <c r="C27" s="38" t="s">
        <v>35</v>
      </c>
      <c r="D27" s="39"/>
    </row>
    <row r="28" spans="1:12" ht="28.8">
      <c r="A28" s="7" t="s">
        <v>36</v>
      </c>
      <c r="B28" s="37" t="s">
        <v>37</v>
      </c>
      <c r="C28" s="38" t="s">
        <v>38</v>
      </c>
      <c r="D28" s="39"/>
    </row>
    <row r="29" spans="1:12">
      <c r="A29" s="7" t="s">
        <v>39</v>
      </c>
      <c r="B29" s="37" t="s">
        <v>40</v>
      </c>
      <c r="C29" s="38" t="s">
        <v>41</v>
      </c>
      <c r="D29" s="39"/>
    </row>
    <row r="30" spans="1:12" ht="28.8">
      <c r="A30" s="7" t="s">
        <v>42</v>
      </c>
      <c r="B30" s="38" t="s">
        <v>43</v>
      </c>
      <c r="C30" s="37" t="s">
        <v>44</v>
      </c>
      <c r="D30" s="39"/>
    </row>
    <row r="32" spans="1:12">
      <c r="A32" s="2" t="s">
        <v>45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">
      <c r="A33" s="20" t="s">
        <v>46</v>
      </c>
    </row>
    <row r="34" spans="1:1">
      <c r="A34" s="4" t="s">
        <v>47</v>
      </c>
    </row>
    <row r="35" spans="1:1">
      <c r="A35" s="4" t="s">
        <v>48</v>
      </c>
    </row>
    <row r="36" spans="1:1">
      <c r="A36" s="20" t="s">
        <v>49</v>
      </c>
    </row>
    <row r="37" spans="1:1">
      <c r="A37" s="4" t="s">
        <v>50</v>
      </c>
    </row>
  </sheetData>
  <mergeCells count="4">
    <mergeCell ref="A5:L5"/>
    <mergeCell ref="A11:L11"/>
    <mergeCell ref="A23:L23"/>
    <mergeCell ref="A32:L32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65" sqref="H65"/>
    </sheetView>
  </sheetViews>
  <sheetFormatPr defaultColWidth="8.6640625" defaultRowHeight="14.4"/>
  <cols>
    <col min="1" max="1" width="17" style="39" customWidth="1"/>
    <col min="2" max="2" width="11" style="39" customWidth="1"/>
    <col min="3" max="14" width="13" style="39" customWidth="1"/>
    <col min="15" max="16384" width="8.6640625" style="39"/>
  </cols>
  <sheetData>
    <row r="1" spans="1:14" ht="31.8" customHeight="1">
      <c r="A1" s="57" t="s">
        <v>51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4" ht="18.600000000000001" customHeight="1">
      <c r="A2" s="58" t="s">
        <v>52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4" ht="12" customHeight="1">
      <c r="A3" s="58" t="s">
        <v>53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5" spans="1:14">
      <c r="A5" s="40" t="s">
        <v>54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4" ht="27">
      <c r="A6" s="41" t="s">
        <v>55</v>
      </c>
      <c r="B6" s="41" t="s">
        <v>56</v>
      </c>
      <c r="C6" s="42" t="s">
        <v>57</v>
      </c>
      <c r="D6" s="42" t="s">
        <v>58</v>
      </c>
      <c r="E6" s="42" t="s">
        <v>59</v>
      </c>
      <c r="F6" s="42" t="s">
        <v>60</v>
      </c>
      <c r="G6" s="42" t="s">
        <v>61</v>
      </c>
      <c r="H6" s="42" t="s">
        <v>62</v>
      </c>
      <c r="I6" s="42" t="s">
        <v>63</v>
      </c>
      <c r="J6" s="42" t="s">
        <v>64</v>
      </c>
      <c r="K6" s="42" t="s">
        <v>65</v>
      </c>
      <c r="L6" s="42" t="s">
        <v>66</v>
      </c>
      <c r="M6" s="42" t="s">
        <v>67</v>
      </c>
      <c r="N6" s="42" t="s">
        <v>68</v>
      </c>
    </row>
    <row r="7" spans="1:14">
      <c r="A7" s="37" t="s">
        <v>69</v>
      </c>
      <c r="B7" s="43">
        <v>0.48</v>
      </c>
      <c r="C7" s="44">
        <v>0.54827178752417705</v>
      </c>
      <c r="D7" s="45">
        <v>224.517296991151</v>
      </c>
      <c r="E7" s="46">
        <v>903.84</v>
      </c>
      <c r="F7" s="44">
        <v>0.37274525508238698</v>
      </c>
      <c r="G7" s="44">
        <v>0.43974372294372299</v>
      </c>
      <c r="H7" s="45">
        <v>190.464</v>
      </c>
      <c r="I7" s="46">
        <v>1201.44</v>
      </c>
      <c r="J7" s="44">
        <v>0.243964877574744</v>
      </c>
      <c r="K7" s="44">
        <v>0.35898197242842</v>
      </c>
      <c r="L7" s="45">
        <v>169.26</v>
      </c>
      <c r="M7" s="46">
        <v>1352.64</v>
      </c>
      <c r="N7" s="44">
        <v>0.17283744709240101</v>
      </c>
    </row>
    <row r="8" spans="1:14">
      <c r="A8" s="37" t="s">
        <v>70</v>
      </c>
      <c r="B8" s="43">
        <v>0.75</v>
      </c>
      <c r="C8" s="44">
        <v>0.18865265807283499</v>
      </c>
      <c r="D8" s="45">
        <v>77.253263480826007</v>
      </c>
      <c r="E8" s="46">
        <v>1412.25</v>
      </c>
      <c r="F8" s="44">
        <v>0.20040067477547699</v>
      </c>
      <c r="G8" s="44">
        <v>0.15130966810966801</v>
      </c>
      <c r="H8" s="45">
        <v>65.536000000000001</v>
      </c>
      <c r="I8" s="46">
        <v>1877.25</v>
      </c>
      <c r="J8" s="44">
        <v>0.13116391267459401</v>
      </c>
      <c r="K8" s="44">
        <v>0.123520678685048</v>
      </c>
      <c r="L8" s="45">
        <v>58.24</v>
      </c>
      <c r="M8" s="46">
        <v>2113.5</v>
      </c>
      <c r="N8" s="44">
        <v>9.2923358651828394E-2</v>
      </c>
    </row>
    <row r="9" spans="1:14">
      <c r="A9" s="47" t="s">
        <v>71</v>
      </c>
      <c r="B9" s="43">
        <v>1</v>
      </c>
      <c r="C9" s="48">
        <v>0.158730158730159</v>
      </c>
      <c r="D9" s="49">
        <v>65</v>
      </c>
      <c r="E9" s="50">
        <v>1883</v>
      </c>
      <c r="F9" s="48">
        <v>0.22481973832538599</v>
      </c>
      <c r="G9" s="48">
        <v>7.6190476190476197E-2</v>
      </c>
      <c r="H9" s="49">
        <v>33</v>
      </c>
      <c r="I9" s="50">
        <v>2503</v>
      </c>
      <c r="J9" s="48">
        <v>8.8061708949007E-2</v>
      </c>
      <c r="K9" s="48">
        <v>3.1813361611876999E-2</v>
      </c>
      <c r="L9" s="49">
        <v>15</v>
      </c>
      <c r="M9" s="50">
        <v>2818</v>
      </c>
      <c r="N9" s="48">
        <v>3.1910494042523503E-2</v>
      </c>
    </row>
    <row r="10" spans="1:14">
      <c r="A10" s="47" t="s">
        <v>72</v>
      </c>
      <c r="B10" s="43">
        <v>1.3</v>
      </c>
      <c r="C10" s="48">
        <v>0.100633551960986</v>
      </c>
      <c r="D10" s="49">
        <v>41.209439528023601</v>
      </c>
      <c r="E10" s="50">
        <v>2447.9</v>
      </c>
      <c r="F10" s="48">
        <v>0.18529390822452099</v>
      </c>
      <c r="G10" s="48">
        <v>0.32352092352092299</v>
      </c>
      <c r="H10" s="49">
        <v>140.125</v>
      </c>
      <c r="I10" s="50">
        <v>3253.9</v>
      </c>
      <c r="J10" s="48">
        <v>0.48610730474010599</v>
      </c>
      <c r="K10" s="48">
        <v>0.46617179215270399</v>
      </c>
      <c r="L10" s="49">
        <v>219.8</v>
      </c>
      <c r="M10" s="50">
        <v>3663.4</v>
      </c>
      <c r="N10" s="48">
        <v>0.60787363784737802</v>
      </c>
    </row>
    <row r="11" spans="1:14">
      <c r="A11" s="47" t="s">
        <v>73</v>
      </c>
      <c r="B11" s="43">
        <v>2.25</v>
      </c>
      <c r="C11" s="48">
        <v>0</v>
      </c>
      <c r="D11" s="49">
        <v>0</v>
      </c>
      <c r="E11" s="50">
        <v>4236.75</v>
      </c>
      <c r="F11" s="48">
        <v>0</v>
      </c>
      <c r="G11" s="48">
        <v>0</v>
      </c>
      <c r="H11" s="49">
        <v>0</v>
      </c>
      <c r="I11" s="50">
        <v>5631.75</v>
      </c>
      <c r="J11" s="48">
        <v>0</v>
      </c>
      <c r="K11" s="48">
        <v>0</v>
      </c>
      <c r="L11" s="49">
        <v>0</v>
      </c>
      <c r="M11" s="50">
        <v>6340.5</v>
      </c>
      <c r="N11" s="48">
        <v>0</v>
      </c>
    </row>
    <row r="12" spans="1:14">
      <c r="A12" s="47" t="s">
        <v>74</v>
      </c>
      <c r="B12" s="43">
        <v>3</v>
      </c>
      <c r="C12" s="48">
        <v>3.66300366300366E-3</v>
      </c>
      <c r="D12" s="49">
        <v>1.5</v>
      </c>
      <c r="E12" s="50">
        <v>5649</v>
      </c>
      <c r="F12" s="48">
        <v>1.55644434225267E-2</v>
      </c>
      <c r="G12" s="48">
        <v>8.0808080808080808E-3</v>
      </c>
      <c r="H12" s="49">
        <v>3.5</v>
      </c>
      <c r="I12" s="50">
        <v>7509</v>
      </c>
      <c r="J12" s="48">
        <v>2.80196346655931E-2</v>
      </c>
      <c r="K12" s="48">
        <v>1.69671261930011E-2</v>
      </c>
      <c r="L12" s="49">
        <v>8</v>
      </c>
      <c r="M12" s="50">
        <v>8454</v>
      </c>
      <c r="N12" s="48">
        <v>5.1056790468037599E-2</v>
      </c>
    </row>
    <row r="13" spans="1:14">
      <c r="A13" s="47" t="s">
        <v>75</v>
      </c>
      <c r="B13" s="43">
        <v>5</v>
      </c>
      <c r="C13" s="48">
        <v>0</v>
      </c>
      <c r="D13" s="49">
        <v>0</v>
      </c>
      <c r="E13" s="50">
        <v>9415</v>
      </c>
      <c r="F13" s="48">
        <v>0</v>
      </c>
      <c r="G13" s="48">
        <v>0</v>
      </c>
      <c r="H13" s="49">
        <v>0</v>
      </c>
      <c r="I13" s="50">
        <v>12515</v>
      </c>
      <c r="J13" s="48">
        <v>0</v>
      </c>
      <c r="K13" s="48">
        <v>0</v>
      </c>
      <c r="L13" s="49">
        <v>0</v>
      </c>
      <c r="M13" s="50">
        <v>14090</v>
      </c>
      <c r="N13" s="48">
        <v>0</v>
      </c>
    </row>
    <row r="14" spans="1:14">
      <c r="A14" s="47" t="s">
        <v>76</v>
      </c>
      <c r="B14" s="43">
        <v>17</v>
      </c>
      <c r="C14" s="48">
        <v>4.8840048840048799E-5</v>
      </c>
      <c r="D14" s="49">
        <v>0.02</v>
      </c>
      <c r="E14" s="50">
        <v>32011</v>
      </c>
      <c r="F14" s="48">
        <v>1.1759801697020201E-3</v>
      </c>
      <c r="G14" s="48">
        <v>1.1544011544011501E-3</v>
      </c>
      <c r="H14" s="49">
        <v>0.5</v>
      </c>
      <c r="I14" s="50">
        <v>42551</v>
      </c>
      <c r="J14" s="48">
        <v>2.26825613959564E-2</v>
      </c>
      <c r="K14" s="48">
        <v>2.54506892895016E-3</v>
      </c>
      <c r="L14" s="49">
        <v>1.2</v>
      </c>
      <c r="M14" s="50">
        <v>47906</v>
      </c>
      <c r="N14" s="48">
        <v>4.3398271897831901E-2</v>
      </c>
    </row>
    <row r="15" spans="1:14">
      <c r="A15" s="51" t="s">
        <v>77</v>
      </c>
      <c r="B15" s="52" t="s">
        <v>16</v>
      </c>
      <c r="C15" s="53">
        <f>SUM(C9:C14)</f>
        <v>0.26307555440298869</v>
      </c>
      <c r="D15" s="54">
        <f>SUM(D9:D14)</f>
        <v>107.7294395280236</v>
      </c>
      <c r="E15" s="55" t="s">
        <v>16</v>
      </c>
      <c r="F15" s="53">
        <f>SUM(F9:F14)</f>
        <v>0.42685407014213572</v>
      </c>
      <c r="G15" s="53">
        <f>SUM(G9:G14)</f>
        <v>0.40894660894660839</v>
      </c>
      <c r="H15" s="54">
        <f>SUM(H9:H14)</f>
        <v>177.125</v>
      </c>
      <c r="I15" s="55" t="s">
        <v>16</v>
      </c>
      <c r="J15" s="53">
        <f>SUM(J9:J14)</f>
        <v>0.62487120975066246</v>
      </c>
      <c r="K15" s="53">
        <f>SUM(K9:K14)</f>
        <v>0.5174973488865322</v>
      </c>
      <c r="L15" s="54">
        <f>SUM(L9:L14)</f>
        <v>244</v>
      </c>
      <c r="M15" s="55" t="s">
        <v>16</v>
      </c>
      <c r="N15" s="53">
        <f>SUM(N9:N14)</f>
        <v>0.734239194255771</v>
      </c>
    </row>
    <row r="17" spans="1:14">
      <c r="A17" s="40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1:14" ht="27">
      <c r="A18" s="41" t="s">
        <v>55</v>
      </c>
      <c r="B18" s="41" t="s">
        <v>56</v>
      </c>
      <c r="C18" s="42" t="s">
        <v>57</v>
      </c>
      <c r="D18" s="42" t="s">
        <v>58</v>
      </c>
      <c r="E18" s="42" t="s">
        <v>59</v>
      </c>
      <c r="F18" s="42" t="s">
        <v>60</v>
      </c>
      <c r="G18" s="42" t="s">
        <v>61</v>
      </c>
      <c r="H18" s="42" t="s">
        <v>62</v>
      </c>
      <c r="I18" s="42" t="s">
        <v>63</v>
      </c>
      <c r="J18" s="42" t="s">
        <v>64</v>
      </c>
      <c r="K18" s="42" t="s">
        <v>65</v>
      </c>
      <c r="L18" s="42" t="s">
        <v>66</v>
      </c>
      <c r="M18" s="42" t="s">
        <v>67</v>
      </c>
      <c r="N18" s="42" t="s">
        <v>68</v>
      </c>
    </row>
    <row r="19" spans="1:14">
      <c r="A19" s="37" t="s">
        <v>69</v>
      </c>
      <c r="B19" s="43">
        <v>0.48</v>
      </c>
      <c r="C19" s="44">
        <v>0.34777544638262697</v>
      </c>
      <c r="D19" s="45">
        <v>86.434439999999995</v>
      </c>
      <c r="E19" s="46">
        <v>1237.44</v>
      </c>
      <c r="F19" s="44">
        <v>0.15925698968537999</v>
      </c>
      <c r="G19" s="44">
        <v>0.30868152797420001</v>
      </c>
      <c r="H19" s="45">
        <v>86.434439999999995</v>
      </c>
      <c r="I19" s="46">
        <v>1644.48</v>
      </c>
      <c r="J19" s="44">
        <v>0.121299361541803</v>
      </c>
      <c r="K19" s="44">
        <v>0.27715869914478503</v>
      </c>
      <c r="L19" s="45">
        <v>86.434439999999995</v>
      </c>
      <c r="M19" s="46">
        <v>1851.36</v>
      </c>
      <c r="N19" s="44">
        <v>9.4716274834451802E-2</v>
      </c>
    </row>
    <row r="20" spans="1:14">
      <c r="A20" s="37" t="s">
        <v>70</v>
      </c>
      <c r="B20" s="43">
        <v>0.75</v>
      </c>
      <c r="C20" s="44">
        <v>0.244603823062743</v>
      </c>
      <c r="D20" s="45">
        <v>60.792659999999998</v>
      </c>
      <c r="E20" s="46">
        <v>1933.5</v>
      </c>
      <c r="F20" s="44">
        <v>0.17501805462626599</v>
      </c>
      <c r="G20" s="44">
        <v>0.217107569371839</v>
      </c>
      <c r="H20" s="45">
        <v>60.792659999999998</v>
      </c>
      <c r="I20" s="46">
        <v>2569.5</v>
      </c>
      <c r="J20" s="44">
        <v>0.13330390287041399</v>
      </c>
      <c r="K20" s="44">
        <v>0.19493635364735601</v>
      </c>
      <c r="L20" s="45">
        <v>60.792659999999998</v>
      </c>
      <c r="M20" s="46">
        <v>2892.75</v>
      </c>
      <c r="N20" s="44">
        <v>0.104089988111173</v>
      </c>
    </row>
    <row r="21" spans="1:14">
      <c r="A21" s="47" t="s">
        <v>71</v>
      </c>
      <c r="B21" s="43">
        <v>1</v>
      </c>
      <c r="C21" s="48">
        <v>0.14644565458448999</v>
      </c>
      <c r="D21" s="49">
        <v>36.396900000000002</v>
      </c>
      <c r="E21" s="50">
        <v>2578</v>
      </c>
      <c r="F21" s="48">
        <v>0.13971236291632899</v>
      </c>
      <c r="G21" s="48">
        <v>0.129983496225858</v>
      </c>
      <c r="H21" s="49">
        <v>36.396900000000002</v>
      </c>
      <c r="I21" s="50">
        <v>3426</v>
      </c>
      <c r="J21" s="48">
        <v>0.10641304004758</v>
      </c>
      <c r="K21" s="48">
        <v>0.116709467394048</v>
      </c>
      <c r="L21" s="49">
        <v>36.396900000000002</v>
      </c>
      <c r="M21" s="50">
        <v>3857</v>
      </c>
      <c r="N21" s="48">
        <v>8.3092331394032604E-2</v>
      </c>
    </row>
    <row r="22" spans="1:14">
      <c r="A22" s="47" t="s">
        <v>72</v>
      </c>
      <c r="B22" s="43">
        <v>1.3</v>
      </c>
      <c r="C22" s="48">
        <v>0.136565886261625</v>
      </c>
      <c r="D22" s="49">
        <v>33.941429807383003</v>
      </c>
      <c r="E22" s="50">
        <v>3351.4</v>
      </c>
      <c r="F22" s="48">
        <v>0.16937290172769201</v>
      </c>
      <c r="G22" s="48">
        <v>0.16118682024771</v>
      </c>
      <c r="H22" s="49">
        <v>45.134195864988598</v>
      </c>
      <c r="I22" s="50">
        <v>4453.8</v>
      </c>
      <c r="J22" s="48">
        <v>0.17154557365394399</v>
      </c>
      <c r="K22" s="48">
        <v>0.16084654789018701</v>
      </c>
      <c r="L22" s="49">
        <v>50.1614466214495</v>
      </c>
      <c r="M22" s="50">
        <v>5014.1000000000004</v>
      </c>
      <c r="N22" s="48">
        <v>0.14887094806523701</v>
      </c>
    </row>
    <row r="23" spans="1:14">
      <c r="A23" s="47" t="s">
        <v>73</v>
      </c>
      <c r="B23" s="43">
        <v>2.25</v>
      </c>
      <c r="C23" s="48">
        <v>0</v>
      </c>
      <c r="D23" s="49">
        <v>0</v>
      </c>
      <c r="E23" s="50">
        <v>5800.5</v>
      </c>
      <c r="F23" s="48">
        <v>0</v>
      </c>
      <c r="G23" s="48">
        <v>0</v>
      </c>
      <c r="H23" s="49">
        <v>0</v>
      </c>
      <c r="I23" s="50">
        <v>7708.5</v>
      </c>
      <c r="J23" s="48">
        <v>0</v>
      </c>
      <c r="K23" s="48">
        <v>1.49170640055729E-2</v>
      </c>
      <c r="L23" s="49">
        <v>4.6520209459213504</v>
      </c>
      <c r="M23" s="50">
        <v>8678.25</v>
      </c>
      <c r="N23" s="48">
        <v>2.38957534488809E-2</v>
      </c>
    </row>
    <row r="24" spans="1:14">
      <c r="A24" s="47" t="s">
        <v>74</v>
      </c>
      <c r="B24" s="43">
        <v>3</v>
      </c>
      <c r="C24" s="48">
        <v>0.124609189708516</v>
      </c>
      <c r="D24" s="49">
        <v>30.9697698424043</v>
      </c>
      <c r="E24" s="50">
        <v>7734</v>
      </c>
      <c r="F24" s="48">
        <v>0.35663969104433302</v>
      </c>
      <c r="G24" s="48">
        <v>0.17211370321405101</v>
      </c>
      <c r="H24" s="49">
        <v>48.193850961098398</v>
      </c>
      <c r="I24" s="50">
        <v>10278</v>
      </c>
      <c r="J24" s="48">
        <v>0.42271079616976598</v>
      </c>
      <c r="K24" s="48">
        <v>0.205597739906906</v>
      </c>
      <c r="L24" s="49">
        <v>64.117509459213494</v>
      </c>
      <c r="M24" s="50">
        <v>11571</v>
      </c>
      <c r="N24" s="48">
        <v>0.43913135548453203</v>
      </c>
    </row>
    <row r="25" spans="1:14">
      <c r="A25" s="47" t="s">
        <v>75</v>
      </c>
      <c r="B25" s="43">
        <v>5</v>
      </c>
      <c r="C25" s="48">
        <v>0</v>
      </c>
      <c r="D25" s="49">
        <v>0</v>
      </c>
      <c r="E25" s="50">
        <v>12890</v>
      </c>
      <c r="F25" s="48">
        <v>0</v>
      </c>
      <c r="G25" s="48">
        <v>1.09268829663411E-2</v>
      </c>
      <c r="H25" s="49">
        <v>3.0596550961098399</v>
      </c>
      <c r="I25" s="50">
        <v>17130</v>
      </c>
      <c r="J25" s="48">
        <v>4.47273257164921E-2</v>
      </c>
      <c r="K25" s="48">
        <v>2.9834128011145801E-2</v>
      </c>
      <c r="L25" s="49">
        <v>9.3040418918427008</v>
      </c>
      <c r="M25" s="50">
        <v>19285</v>
      </c>
      <c r="N25" s="48">
        <v>0.106203348661693</v>
      </c>
    </row>
    <row r="26" spans="1:14">
      <c r="A26" s="47" t="s">
        <v>76</v>
      </c>
      <c r="B26" s="43">
        <v>17</v>
      </c>
      <c r="C26" s="48">
        <v>0</v>
      </c>
      <c r="D26" s="49">
        <v>0</v>
      </c>
      <c r="E26" s="50">
        <v>43826</v>
      </c>
      <c r="F26" s="48">
        <v>0</v>
      </c>
      <c r="G26" s="48">
        <v>0</v>
      </c>
      <c r="H26" s="49">
        <v>0</v>
      </c>
      <c r="I26" s="50">
        <v>58242</v>
      </c>
      <c r="J26" s="48">
        <v>0</v>
      </c>
      <c r="K26" s="48">
        <v>0</v>
      </c>
      <c r="L26" s="49">
        <v>0</v>
      </c>
      <c r="M26" s="50">
        <v>65569</v>
      </c>
      <c r="N26" s="48">
        <v>0</v>
      </c>
    </row>
    <row r="27" spans="1:14">
      <c r="A27" s="51" t="s">
        <v>77</v>
      </c>
      <c r="B27" s="52" t="s">
        <v>16</v>
      </c>
      <c r="C27" s="53">
        <f>SUM(C21:C26)</f>
        <v>0.40762073055463099</v>
      </c>
      <c r="D27" s="54">
        <f>SUM(D21:D26)</f>
        <v>101.30809964978731</v>
      </c>
      <c r="E27" s="55" t="s">
        <v>16</v>
      </c>
      <c r="F27" s="53">
        <f>SUM(F21:F26)</f>
        <v>0.66572495568835399</v>
      </c>
      <c r="G27" s="53">
        <f>SUM(G21:G26)</f>
        <v>0.4742109026539601</v>
      </c>
      <c r="H27" s="54">
        <f>SUM(H21:H26)</f>
        <v>132.78460192219686</v>
      </c>
      <c r="I27" s="55" t="s">
        <v>16</v>
      </c>
      <c r="J27" s="53">
        <f>SUM(J21:J26)</f>
        <v>0.74539673558778208</v>
      </c>
      <c r="K27" s="53">
        <f>SUM(K21:K26)</f>
        <v>0.52790494720785974</v>
      </c>
      <c r="L27" s="54">
        <f>SUM(L21:L26)</f>
        <v>164.63191891842706</v>
      </c>
      <c r="M27" s="55" t="s">
        <v>16</v>
      </c>
      <c r="N27" s="53">
        <f>SUM(N21:N26)</f>
        <v>0.80119373705437558</v>
      </c>
    </row>
    <row r="29" spans="1:14">
      <c r="A29" s="40" t="s">
        <v>79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1:14" ht="40.200000000000003">
      <c r="A30" s="41" t="s">
        <v>4</v>
      </c>
      <c r="B30" s="41" t="s">
        <v>80</v>
      </c>
      <c r="C30" s="42" t="s">
        <v>81</v>
      </c>
      <c r="D30" s="42" t="s">
        <v>82</v>
      </c>
      <c r="E30" s="42" t="s">
        <v>83</v>
      </c>
      <c r="F30" s="42" t="s">
        <v>84</v>
      </c>
      <c r="G30" s="42" t="s">
        <v>85</v>
      </c>
      <c r="H30" s="42" t="s">
        <v>86</v>
      </c>
      <c r="I30" s="42" t="s">
        <v>87</v>
      </c>
      <c r="J30" s="41" t="s">
        <v>88</v>
      </c>
    </row>
    <row r="31" spans="1:14">
      <c r="A31" s="38" t="s">
        <v>89</v>
      </c>
      <c r="B31" s="52" t="s">
        <v>90</v>
      </c>
      <c r="C31" s="56"/>
      <c r="D31" s="56"/>
      <c r="E31" s="56"/>
      <c r="F31" s="56"/>
      <c r="G31" s="56"/>
      <c r="H31" s="56"/>
      <c r="I31" s="56"/>
      <c r="J31" s="56"/>
    </row>
    <row r="32" spans="1:14">
      <c r="A32" s="38" t="s">
        <v>89</v>
      </c>
      <c r="B32" s="52" t="s">
        <v>91</v>
      </c>
      <c r="C32" s="56"/>
      <c r="D32" s="56"/>
      <c r="E32" s="56"/>
      <c r="F32" s="56"/>
      <c r="G32" s="56"/>
      <c r="H32" s="56"/>
      <c r="I32" s="56"/>
      <c r="J32" s="56"/>
    </row>
    <row r="33" spans="1:10">
      <c r="A33" s="38" t="s">
        <v>89</v>
      </c>
      <c r="B33" s="52" t="s">
        <v>92</v>
      </c>
      <c r="C33" s="56"/>
      <c r="D33" s="56"/>
      <c r="E33" s="56"/>
      <c r="F33" s="56"/>
      <c r="G33" s="56"/>
      <c r="H33" s="56"/>
      <c r="I33" s="56"/>
      <c r="J33" s="56"/>
    </row>
    <row r="34" spans="1:10">
      <c r="A34" s="38" t="s">
        <v>89</v>
      </c>
      <c r="B34" s="52" t="s">
        <v>93</v>
      </c>
      <c r="C34" s="56"/>
      <c r="D34" s="56"/>
      <c r="E34" s="56"/>
      <c r="F34" s="56"/>
      <c r="G34" s="56"/>
      <c r="H34" s="56"/>
      <c r="I34" s="56"/>
      <c r="J34" s="56"/>
    </row>
    <row r="35" spans="1:10">
      <c r="A35" s="38" t="s">
        <v>89</v>
      </c>
      <c r="B35" s="52" t="s">
        <v>94</v>
      </c>
      <c r="C35" s="56"/>
      <c r="D35" s="56"/>
      <c r="E35" s="56"/>
      <c r="F35" s="56"/>
      <c r="G35" s="56"/>
      <c r="H35" s="56"/>
      <c r="I35" s="56"/>
      <c r="J35" s="56"/>
    </row>
    <row r="36" spans="1:10">
      <c r="A36" s="38" t="s">
        <v>89</v>
      </c>
      <c r="B36" s="52" t="s">
        <v>95</v>
      </c>
      <c r="C36" s="56"/>
      <c r="D36" s="56"/>
      <c r="E36" s="56"/>
      <c r="F36" s="56"/>
      <c r="G36" s="56"/>
      <c r="H36" s="56"/>
      <c r="I36" s="56"/>
      <c r="J36" s="56"/>
    </row>
    <row r="37" spans="1:10">
      <c r="A37" s="38" t="s">
        <v>89</v>
      </c>
      <c r="B37" s="52" t="s">
        <v>96</v>
      </c>
      <c r="C37" s="56"/>
      <c r="D37" s="56"/>
      <c r="E37" s="56"/>
      <c r="F37" s="56"/>
      <c r="G37" s="56"/>
      <c r="H37" s="56"/>
      <c r="I37" s="56"/>
      <c r="J37" s="56"/>
    </row>
    <row r="38" spans="1:10">
      <c r="A38" s="38" t="s">
        <v>89</v>
      </c>
      <c r="B38" s="52" t="s">
        <v>97</v>
      </c>
      <c r="C38" s="56"/>
      <c r="D38" s="56"/>
      <c r="E38" s="56"/>
      <c r="F38" s="56"/>
      <c r="G38" s="56"/>
      <c r="H38" s="56"/>
      <c r="I38" s="56"/>
      <c r="J38" s="56"/>
    </row>
    <row r="39" spans="1:10">
      <c r="A39" s="38" t="s">
        <v>89</v>
      </c>
      <c r="B39" s="52" t="s">
        <v>98</v>
      </c>
      <c r="C39" s="56"/>
      <c r="D39" s="56"/>
      <c r="E39" s="56"/>
      <c r="F39" s="56"/>
      <c r="G39" s="56"/>
      <c r="H39" s="56"/>
      <c r="I39" s="56"/>
      <c r="J39" s="56"/>
    </row>
    <row r="40" spans="1:10">
      <c r="A40" s="38" t="s">
        <v>89</v>
      </c>
      <c r="B40" s="52" t="s">
        <v>99</v>
      </c>
      <c r="C40" s="56"/>
      <c r="D40" s="56"/>
      <c r="E40" s="56"/>
      <c r="F40" s="56"/>
      <c r="G40" s="56"/>
      <c r="H40" s="56"/>
      <c r="I40" s="56"/>
      <c r="J40" s="56"/>
    </row>
    <row r="42" spans="1:10">
      <c r="A42" s="38" t="s">
        <v>100</v>
      </c>
      <c r="B42" s="52" t="s">
        <v>90</v>
      </c>
      <c r="C42" s="56"/>
      <c r="D42" s="56"/>
      <c r="E42" s="56"/>
      <c r="F42" s="56"/>
      <c r="G42" s="56"/>
      <c r="H42" s="56"/>
      <c r="I42" s="56"/>
      <c r="J42" s="56"/>
    </row>
    <row r="43" spans="1:10">
      <c r="A43" s="38" t="s">
        <v>100</v>
      </c>
      <c r="B43" s="52" t="s">
        <v>91</v>
      </c>
      <c r="C43" s="56"/>
      <c r="D43" s="56"/>
      <c r="E43" s="56"/>
      <c r="F43" s="56"/>
      <c r="G43" s="56"/>
      <c r="H43" s="56"/>
      <c r="I43" s="56"/>
      <c r="J43" s="56"/>
    </row>
    <row r="44" spans="1:10">
      <c r="A44" s="38" t="s">
        <v>100</v>
      </c>
      <c r="B44" s="52" t="s">
        <v>92</v>
      </c>
      <c r="C44" s="56"/>
      <c r="D44" s="56"/>
      <c r="E44" s="56"/>
      <c r="F44" s="56"/>
      <c r="G44" s="56"/>
      <c r="H44" s="56"/>
      <c r="I44" s="56"/>
      <c r="J44" s="56"/>
    </row>
    <row r="45" spans="1:10">
      <c r="A45" s="38" t="s">
        <v>100</v>
      </c>
      <c r="B45" s="52" t="s">
        <v>93</v>
      </c>
      <c r="C45" s="56"/>
      <c r="D45" s="56"/>
      <c r="E45" s="56"/>
      <c r="F45" s="56"/>
      <c r="G45" s="56"/>
      <c r="H45" s="56"/>
      <c r="I45" s="56"/>
      <c r="J45" s="56"/>
    </row>
    <row r="46" spans="1:10">
      <c r="A46" s="38" t="s">
        <v>100</v>
      </c>
      <c r="B46" s="52" t="s">
        <v>94</v>
      </c>
      <c r="C46" s="56"/>
      <c r="D46" s="56"/>
      <c r="E46" s="56"/>
      <c r="F46" s="56"/>
      <c r="G46" s="56"/>
      <c r="H46" s="56"/>
      <c r="I46" s="56"/>
      <c r="J46" s="56"/>
    </row>
    <row r="47" spans="1:10">
      <c r="A47" s="38" t="s">
        <v>100</v>
      </c>
      <c r="B47" s="52" t="s">
        <v>95</v>
      </c>
      <c r="C47" s="56"/>
      <c r="D47" s="56"/>
      <c r="E47" s="56"/>
      <c r="F47" s="56"/>
      <c r="G47" s="56"/>
      <c r="H47" s="56"/>
      <c r="I47" s="56"/>
      <c r="J47" s="56"/>
    </row>
    <row r="48" spans="1:10">
      <c r="A48" s="38" t="s">
        <v>100</v>
      </c>
      <c r="B48" s="52" t="s">
        <v>96</v>
      </c>
      <c r="C48" s="56"/>
      <c r="D48" s="56"/>
      <c r="E48" s="56"/>
      <c r="F48" s="56"/>
      <c r="G48" s="56"/>
      <c r="H48" s="56"/>
      <c r="I48" s="56"/>
      <c r="J48" s="56"/>
    </row>
    <row r="49" spans="1:12">
      <c r="A49" s="38" t="s">
        <v>100</v>
      </c>
      <c r="B49" s="52" t="s">
        <v>97</v>
      </c>
      <c r="C49" s="56"/>
      <c r="D49" s="56"/>
      <c r="E49" s="56"/>
      <c r="F49" s="56"/>
      <c r="G49" s="56"/>
      <c r="H49" s="56"/>
      <c r="I49" s="56"/>
      <c r="J49" s="56"/>
    </row>
    <row r="50" spans="1:12">
      <c r="A50" s="38" t="s">
        <v>100</v>
      </c>
      <c r="B50" s="52" t="s">
        <v>98</v>
      </c>
      <c r="C50" s="56"/>
      <c r="D50" s="56"/>
      <c r="E50" s="56"/>
      <c r="F50" s="56"/>
      <c r="G50" s="56"/>
      <c r="H50" s="56"/>
      <c r="I50" s="56"/>
      <c r="J50" s="56"/>
    </row>
    <row r="51" spans="1:12">
      <c r="A51" s="38" t="s">
        <v>100</v>
      </c>
      <c r="B51" s="52" t="s">
        <v>99</v>
      </c>
      <c r="C51" s="56"/>
      <c r="D51" s="56"/>
      <c r="E51" s="56"/>
      <c r="F51" s="56"/>
      <c r="G51" s="56"/>
      <c r="H51" s="56"/>
      <c r="I51" s="56"/>
      <c r="J51" s="56"/>
    </row>
    <row r="53" spans="1:12">
      <c r="A53" s="40" t="s">
        <v>101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1:12" ht="41.4" customHeight="1">
      <c r="A54" s="59" t="s">
        <v>102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</row>
    <row r="55" spans="1:12" ht="38.4" customHeight="1">
      <c r="A55" s="58" t="s">
        <v>103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</row>
    <row r="56" spans="1:12" ht="18.600000000000001" customHeight="1">
      <c r="A56" s="58" t="s">
        <v>104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</row>
    <row r="57" spans="1:12" ht="15.6" customHeight="1">
      <c r="A57" s="58" t="s">
        <v>105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</row>
    <row r="58" spans="1:12" ht="27.6" customHeight="1">
      <c r="A58" s="58" t="s">
        <v>106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2" ht="33.6" customHeight="1">
      <c r="A59" s="58" t="s">
        <v>107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</row>
    <row r="60" spans="1:12" ht="21.6" customHeight="1">
      <c r="A60" s="59" t="s">
        <v>108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</row>
  </sheetData>
  <mergeCells count="14">
    <mergeCell ref="A59:L59"/>
    <mergeCell ref="A60:L60"/>
    <mergeCell ref="A54:L54"/>
    <mergeCell ref="A55:L55"/>
    <mergeCell ref="A56:L56"/>
    <mergeCell ref="A57:L57"/>
    <mergeCell ref="A58:L58"/>
    <mergeCell ref="A5:L5"/>
    <mergeCell ref="A17:L17"/>
    <mergeCell ref="A29:L29"/>
    <mergeCell ref="A53:L53"/>
    <mergeCell ref="A1:L1"/>
    <mergeCell ref="A2:L2"/>
    <mergeCell ref="A3:L3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1" width="22" customWidth="1"/>
    <col min="2" max="43" width="9" customWidth="1"/>
  </cols>
  <sheetData>
    <row r="1" spans="1:43">
      <c r="A1" s="22" t="s">
        <v>109</v>
      </c>
      <c r="B1" s="23" t="s">
        <v>110</v>
      </c>
      <c r="C1" s="23" t="s">
        <v>111</v>
      </c>
      <c r="D1" s="23" t="s">
        <v>112</v>
      </c>
      <c r="E1" s="23" t="s">
        <v>113</v>
      </c>
      <c r="F1" s="23" t="s">
        <v>114</v>
      </c>
      <c r="G1" s="23" t="s">
        <v>115</v>
      </c>
      <c r="H1" s="23" t="s">
        <v>116</v>
      </c>
      <c r="I1" s="23" t="s">
        <v>117</v>
      </c>
      <c r="J1" s="23" t="s">
        <v>118</v>
      </c>
      <c r="K1" s="23" t="s">
        <v>119</v>
      </c>
      <c r="L1" s="23" t="s">
        <v>120</v>
      </c>
      <c r="M1" s="23" t="s">
        <v>121</v>
      </c>
      <c r="N1" s="23" t="s">
        <v>122</v>
      </c>
      <c r="O1" s="23" t="s">
        <v>123</v>
      </c>
      <c r="P1" s="23" t="s">
        <v>124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131</v>
      </c>
      <c r="X1" s="23" t="s">
        <v>132</v>
      </c>
      <c r="Y1" s="23" t="s">
        <v>133</v>
      </c>
      <c r="Z1" s="23" t="s">
        <v>134</v>
      </c>
      <c r="AA1" s="23" t="s">
        <v>135</v>
      </c>
      <c r="AB1" s="23" t="s">
        <v>136</v>
      </c>
      <c r="AC1" s="23" t="s">
        <v>137</v>
      </c>
      <c r="AD1" s="23" t="s">
        <v>138</v>
      </c>
      <c r="AE1" s="23" t="s">
        <v>139</v>
      </c>
      <c r="AF1" s="23" t="s">
        <v>140</v>
      </c>
      <c r="AG1" s="23" t="s">
        <v>141</v>
      </c>
      <c r="AH1" s="23" t="s">
        <v>142</v>
      </c>
      <c r="AI1" s="23" t="s">
        <v>143</v>
      </c>
      <c r="AJ1" s="23" t="s">
        <v>144</v>
      </c>
      <c r="AK1" s="23" t="s">
        <v>145</v>
      </c>
      <c r="AL1" s="23" t="s">
        <v>146</v>
      </c>
      <c r="AM1" s="23" t="s">
        <v>147</v>
      </c>
      <c r="AN1" s="23" t="s">
        <v>148</v>
      </c>
      <c r="AO1" s="24" t="s">
        <v>149</v>
      </c>
      <c r="AP1" s="24" t="s">
        <v>150</v>
      </c>
      <c r="AQ1" s="24" t="s">
        <v>151</v>
      </c>
    </row>
    <row r="2" spans="1:43">
      <c r="A2" s="22" t="s">
        <v>152</v>
      </c>
      <c r="B2" s="25">
        <v>31.64</v>
      </c>
      <c r="C2" s="25">
        <v>26.1</v>
      </c>
      <c r="D2" s="25">
        <v>33.700000000000003</v>
      </c>
      <c r="E2" s="25">
        <v>35.130000000000003</v>
      </c>
      <c r="F2" s="25">
        <v>38.03</v>
      </c>
      <c r="G2" s="25">
        <v>42.14</v>
      </c>
      <c r="H2" s="26">
        <v>46.28</v>
      </c>
      <c r="I2" s="26">
        <v>48.13</v>
      </c>
      <c r="J2" s="26">
        <v>51.14</v>
      </c>
      <c r="K2" s="26">
        <v>58.37</v>
      </c>
      <c r="L2" s="26">
        <v>60.71</v>
      </c>
      <c r="M2" s="26">
        <v>63.14</v>
      </c>
      <c r="N2" s="26">
        <v>67.92</v>
      </c>
      <c r="O2" s="26">
        <v>72.88</v>
      </c>
      <c r="P2" s="26">
        <v>78.2</v>
      </c>
      <c r="Q2" s="26">
        <v>83.67</v>
      </c>
      <c r="R2" s="26">
        <v>89.53</v>
      </c>
      <c r="S2" s="26">
        <v>95.57</v>
      </c>
      <c r="T2" s="26">
        <v>102.36</v>
      </c>
      <c r="U2" s="26">
        <v>104.37</v>
      </c>
      <c r="V2" s="26">
        <v>106.41</v>
      </c>
      <c r="W2" s="26">
        <v>108.5</v>
      </c>
      <c r="X2" s="26">
        <v>110.63</v>
      </c>
      <c r="Y2" s="26">
        <v>112.8</v>
      </c>
      <c r="Z2" s="26">
        <v>131</v>
      </c>
      <c r="AA2" s="26">
        <v>131</v>
      </c>
      <c r="AB2" s="26">
        <v>131</v>
      </c>
      <c r="AC2" s="26">
        <v>131</v>
      </c>
      <c r="AD2" s="26">
        <v>131</v>
      </c>
      <c r="AE2" s="26">
        <v>131</v>
      </c>
      <c r="AF2" s="26">
        <v>133.94</v>
      </c>
      <c r="AG2" s="26">
        <v>133.94</v>
      </c>
      <c r="AH2" s="26">
        <v>133.94</v>
      </c>
      <c r="AI2" s="26">
        <v>133.94</v>
      </c>
      <c r="AJ2" s="26">
        <v>133.94</v>
      </c>
      <c r="AK2" s="26">
        <v>133.94</v>
      </c>
      <c r="AL2" s="27">
        <f>SUM(B2:M2)</f>
        <v>534.51</v>
      </c>
      <c r="AM2" s="27">
        <f>SUM(N2:Y2)</f>
        <v>1132.8399999999999</v>
      </c>
      <c r="AN2" s="27">
        <f>SUM(Z2:AK2)</f>
        <v>1589.6400000000003</v>
      </c>
      <c r="AO2" s="27"/>
      <c r="AP2" s="27"/>
      <c r="AQ2" s="27"/>
    </row>
    <row r="3" spans="1:43">
      <c r="A3" s="22" t="s">
        <v>153</v>
      </c>
      <c r="B3" s="28">
        <v>0.1142</v>
      </c>
      <c r="C3" s="28">
        <v>0.1142</v>
      </c>
      <c r="D3" s="28">
        <v>0.1142</v>
      </c>
      <c r="E3" s="28">
        <v>0.19500000000000001</v>
      </c>
      <c r="F3" s="28">
        <v>0.19500000000000001</v>
      </c>
      <c r="G3" s="28">
        <v>0.19500000000000001</v>
      </c>
      <c r="H3" s="28">
        <v>0.19800000000000001</v>
      </c>
      <c r="I3" s="28">
        <v>0.19800000000000001</v>
      </c>
      <c r="J3" s="28">
        <v>0.19800000000000001</v>
      </c>
      <c r="K3" s="28">
        <v>0.20499999999999999</v>
      </c>
      <c r="L3" s="28">
        <v>0.20499999999999999</v>
      </c>
      <c r="M3" s="28">
        <v>0.20499999999999999</v>
      </c>
      <c r="N3" s="28">
        <v>0.245</v>
      </c>
      <c r="O3" s="28">
        <v>0.245</v>
      </c>
      <c r="P3" s="28">
        <v>0.245</v>
      </c>
      <c r="Q3" s="28">
        <v>0.25600000000000001</v>
      </c>
      <c r="R3" s="28">
        <v>0.25600000000000001</v>
      </c>
      <c r="S3" s="28">
        <v>0.25600000000000001</v>
      </c>
      <c r="T3" s="28">
        <v>0.26800000000000002</v>
      </c>
      <c r="U3" s="28">
        <v>0.26800000000000002</v>
      </c>
      <c r="V3" s="28">
        <v>0.26800000000000002</v>
      </c>
      <c r="W3" s="28">
        <v>0.27600000000000002</v>
      </c>
      <c r="X3" s="28">
        <v>0.27600000000000002</v>
      </c>
      <c r="Y3" s="28">
        <v>0.27600000000000002</v>
      </c>
      <c r="Z3" s="28">
        <v>0.28799999999999998</v>
      </c>
      <c r="AA3" s="28">
        <v>0.28799999999999998</v>
      </c>
      <c r="AB3" s="28">
        <v>0.28799999999999998</v>
      </c>
      <c r="AC3" s="28">
        <v>0.29199999999999998</v>
      </c>
      <c r="AD3" s="28">
        <v>0.29199999999999998</v>
      </c>
      <c r="AE3" s="28">
        <v>0.29199999999999998</v>
      </c>
      <c r="AF3" s="28">
        <v>0.29499999999999998</v>
      </c>
      <c r="AG3" s="28">
        <v>0.29499999999999998</v>
      </c>
      <c r="AH3" s="28">
        <v>0.29499999999999998</v>
      </c>
      <c r="AI3" s="28">
        <v>0.29799999999999999</v>
      </c>
      <c r="AJ3" s="28">
        <v>0.29799999999999999</v>
      </c>
      <c r="AK3" s="28">
        <v>0.29799999999999999</v>
      </c>
      <c r="AL3" s="28">
        <f>AL4/AL2</f>
        <v>0.18540335634506372</v>
      </c>
      <c r="AM3" s="28">
        <f>AM4/AM2</f>
        <v>0.26305066911479119</v>
      </c>
      <c r="AN3" s="28">
        <f>AN4/AN2</f>
        <v>0.29328606476938168</v>
      </c>
      <c r="AO3" s="28"/>
      <c r="AP3" s="28"/>
      <c r="AQ3" s="28"/>
    </row>
    <row r="4" spans="1:43">
      <c r="A4" s="22" t="s">
        <v>154</v>
      </c>
      <c r="B4" s="27">
        <f t="shared" ref="B4:AK4" si="0">B2*B3</f>
        <v>3.6132879999999998</v>
      </c>
      <c r="C4" s="27">
        <f t="shared" si="0"/>
        <v>2.98062</v>
      </c>
      <c r="D4" s="27">
        <f t="shared" si="0"/>
        <v>3.8485400000000003</v>
      </c>
      <c r="E4" s="27">
        <f t="shared" si="0"/>
        <v>6.8503500000000006</v>
      </c>
      <c r="F4" s="27">
        <f t="shared" si="0"/>
        <v>7.4158500000000007</v>
      </c>
      <c r="G4" s="27">
        <f t="shared" si="0"/>
        <v>8.2172999999999998</v>
      </c>
      <c r="H4" s="27">
        <f t="shared" si="0"/>
        <v>9.1634400000000014</v>
      </c>
      <c r="I4" s="27">
        <f t="shared" si="0"/>
        <v>9.5297400000000003</v>
      </c>
      <c r="J4" s="27">
        <f t="shared" si="0"/>
        <v>10.125720000000001</v>
      </c>
      <c r="K4" s="27">
        <f t="shared" si="0"/>
        <v>11.965849999999998</v>
      </c>
      <c r="L4" s="27">
        <f t="shared" si="0"/>
        <v>12.445549999999999</v>
      </c>
      <c r="M4" s="27">
        <f t="shared" si="0"/>
        <v>12.9437</v>
      </c>
      <c r="N4" s="27">
        <f t="shared" si="0"/>
        <v>16.6404</v>
      </c>
      <c r="O4" s="27">
        <f t="shared" si="0"/>
        <v>17.855599999999999</v>
      </c>
      <c r="P4" s="27">
        <f t="shared" si="0"/>
        <v>19.158999999999999</v>
      </c>
      <c r="Q4" s="27">
        <f t="shared" si="0"/>
        <v>21.419520000000002</v>
      </c>
      <c r="R4" s="27">
        <f t="shared" si="0"/>
        <v>22.91968</v>
      </c>
      <c r="S4" s="27">
        <f t="shared" si="0"/>
        <v>24.465919999999997</v>
      </c>
      <c r="T4" s="27">
        <f t="shared" si="0"/>
        <v>27.432480000000002</v>
      </c>
      <c r="U4" s="27">
        <f t="shared" si="0"/>
        <v>27.971160000000001</v>
      </c>
      <c r="V4" s="27">
        <f t="shared" si="0"/>
        <v>28.517880000000002</v>
      </c>
      <c r="W4" s="27">
        <f t="shared" si="0"/>
        <v>29.946000000000002</v>
      </c>
      <c r="X4" s="27">
        <f t="shared" si="0"/>
        <v>30.53388</v>
      </c>
      <c r="Y4" s="27">
        <f t="shared" si="0"/>
        <v>31.132800000000003</v>
      </c>
      <c r="Z4" s="27">
        <f t="shared" si="0"/>
        <v>37.727999999999994</v>
      </c>
      <c r="AA4" s="27">
        <f t="shared" si="0"/>
        <v>37.727999999999994</v>
      </c>
      <c r="AB4" s="27">
        <f t="shared" si="0"/>
        <v>37.727999999999994</v>
      </c>
      <c r="AC4" s="27">
        <f t="shared" si="0"/>
        <v>38.251999999999995</v>
      </c>
      <c r="AD4" s="27">
        <f t="shared" si="0"/>
        <v>38.251999999999995</v>
      </c>
      <c r="AE4" s="27">
        <f t="shared" si="0"/>
        <v>38.251999999999995</v>
      </c>
      <c r="AF4" s="27">
        <f t="shared" si="0"/>
        <v>39.512299999999996</v>
      </c>
      <c r="AG4" s="27">
        <f t="shared" si="0"/>
        <v>39.512299999999996</v>
      </c>
      <c r="AH4" s="27">
        <f t="shared" si="0"/>
        <v>39.512299999999996</v>
      </c>
      <c r="AI4" s="27">
        <f t="shared" si="0"/>
        <v>39.914119999999997</v>
      </c>
      <c r="AJ4" s="27">
        <f t="shared" si="0"/>
        <v>39.914119999999997</v>
      </c>
      <c r="AK4" s="27">
        <f t="shared" si="0"/>
        <v>39.914119999999997</v>
      </c>
      <c r="AL4" s="27">
        <f>SUM(B4:M4)</f>
        <v>99.099948000000012</v>
      </c>
      <c r="AM4" s="27">
        <f>SUM(N4:Y4)</f>
        <v>297.99432000000002</v>
      </c>
      <c r="AN4" s="27">
        <f>SUM(Z4:AK4)</f>
        <v>466.21925999999996</v>
      </c>
      <c r="AO4" s="27"/>
      <c r="AP4" s="27"/>
      <c r="AQ4" s="27"/>
    </row>
    <row r="5" spans="1:43">
      <c r="A5" s="22" t="s">
        <v>155</v>
      </c>
      <c r="B5" s="28">
        <v>6.7799999999999999E-2</v>
      </c>
      <c r="C5" s="28">
        <v>6.7799999999999999E-2</v>
      </c>
      <c r="D5" s="28">
        <v>6.7799999999999999E-2</v>
      </c>
      <c r="E5" s="28">
        <v>0.06</v>
      </c>
      <c r="F5" s="28">
        <v>0.06</v>
      </c>
      <c r="G5" s="28">
        <v>0.06</v>
      </c>
      <c r="H5" s="28">
        <v>0.06</v>
      </c>
      <c r="I5" s="28">
        <v>0.06</v>
      </c>
      <c r="J5" s="28">
        <v>0.06</v>
      </c>
      <c r="K5" s="28">
        <v>0.06</v>
      </c>
      <c r="L5" s="28">
        <v>0.06</v>
      </c>
      <c r="M5" s="28">
        <v>0.06</v>
      </c>
      <c r="N5" s="28">
        <v>0.06</v>
      </c>
      <c r="O5" s="28">
        <v>0.06</v>
      </c>
      <c r="P5" s="28">
        <v>0.06</v>
      </c>
      <c r="Q5" s="28">
        <v>0.06</v>
      </c>
      <c r="R5" s="28">
        <v>0.06</v>
      </c>
      <c r="S5" s="28">
        <v>0.06</v>
      </c>
      <c r="T5" s="28">
        <v>0.06</v>
      </c>
      <c r="U5" s="28">
        <v>0.06</v>
      </c>
      <c r="V5" s="28">
        <v>0.06</v>
      </c>
      <c r="W5" s="28">
        <v>0.06</v>
      </c>
      <c r="X5" s="28">
        <v>0.06</v>
      </c>
      <c r="Y5" s="28">
        <v>0.06</v>
      </c>
      <c r="Z5" s="28">
        <v>0.06</v>
      </c>
      <c r="AA5" s="28">
        <v>0.06</v>
      </c>
      <c r="AB5" s="28">
        <v>0.06</v>
      </c>
      <c r="AC5" s="28">
        <v>0.06</v>
      </c>
      <c r="AD5" s="28">
        <v>0.06</v>
      </c>
      <c r="AE5" s="28">
        <v>0.06</v>
      </c>
      <c r="AF5" s="28">
        <v>0.06</v>
      </c>
      <c r="AG5" s="28">
        <v>0.06</v>
      </c>
      <c r="AH5" s="28">
        <v>0.06</v>
      </c>
      <c r="AI5" s="28">
        <v>0.06</v>
      </c>
      <c r="AJ5" s="28">
        <v>0.06</v>
      </c>
      <c r="AK5" s="28">
        <v>0.06</v>
      </c>
      <c r="AL5" s="28">
        <f>AL6/AL2</f>
        <v>6.1334366054891405E-2</v>
      </c>
      <c r="AM5" s="28">
        <f>AM6/AM2</f>
        <v>5.9999999999999991E-2</v>
      </c>
      <c r="AN5" s="28">
        <f>AN6/AN2</f>
        <v>5.9999999999999984E-2</v>
      </c>
      <c r="AO5" s="28"/>
      <c r="AP5" s="28"/>
      <c r="AQ5" s="28"/>
    </row>
    <row r="6" spans="1:43">
      <c r="A6" s="22" t="s">
        <v>156</v>
      </c>
      <c r="B6" s="27">
        <f t="shared" ref="B6:AK6" si="1">B2*B5</f>
        <v>2.1451920000000002</v>
      </c>
      <c r="C6" s="27">
        <f t="shared" si="1"/>
        <v>1.7695800000000002</v>
      </c>
      <c r="D6" s="27">
        <f t="shared" si="1"/>
        <v>2.2848600000000001</v>
      </c>
      <c r="E6" s="27">
        <f t="shared" si="1"/>
        <v>2.1078000000000001</v>
      </c>
      <c r="F6" s="27">
        <f t="shared" si="1"/>
        <v>2.2818000000000001</v>
      </c>
      <c r="G6" s="27">
        <f t="shared" si="1"/>
        <v>2.5284</v>
      </c>
      <c r="H6" s="27">
        <f t="shared" si="1"/>
        <v>2.7768000000000002</v>
      </c>
      <c r="I6" s="27">
        <f t="shared" si="1"/>
        <v>2.8877999999999999</v>
      </c>
      <c r="J6" s="27">
        <f t="shared" si="1"/>
        <v>3.0684</v>
      </c>
      <c r="K6" s="27">
        <f t="shared" si="1"/>
        <v>3.5021999999999998</v>
      </c>
      <c r="L6" s="27">
        <f t="shared" si="1"/>
        <v>3.6425999999999998</v>
      </c>
      <c r="M6" s="27">
        <f t="shared" si="1"/>
        <v>3.7883999999999998</v>
      </c>
      <c r="N6" s="27">
        <f t="shared" si="1"/>
        <v>4.0751999999999997</v>
      </c>
      <c r="O6" s="27">
        <f t="shared" si="1"/>
        <v>4.3727999999999998</v>
      </c>
      <c r="P6" s="27">
        <f t="shared" si="1"/>
        <v>4.6920000000000002</v>
      </c>
      <c r="Q6" s="27">
        <f t="shared" si="1"/>
        <v>5.0202</v>
      </c>
      <c r="R6" s="27">
        <f t="shared" si="1"/>
        <v>5.3717999999999995</v>
      </c>
      <c r="S6" s="27">
        <f t="shared" si="1"/>
        <v>5.7341999999999995</v>
      </c>
      <c r="T6" s="27">
        <f t="shared" si="1"/>
        <v>6.1415999999999995</v>
      </c>
      <c r="U6" s="27">
        <f t="shared" si="1"/>
        <v>6.2622</v>
      </c>
      <c r="V6" s="27">
        <f t="shared" si="1"/>
        <v>6.3845999999999998</v>
      </c>
      <c r="W6" s="27">
        <f t="shared" si="1"/>
        <v>6.51</v>
      </c>
      <c r="X6" s="27">
        <f t="shared" si="1"/>
        <v>6.6377999999999995</v>
      </c>
      <c r="Y6" s="27">
        <f t="shared" si="1"/>
        <v>6.7679999999999998</v>
      </c>
      <c r="Z6" s="27">
        <f t="shared" si="1"/>
        <v>7.8599999999999994</v>
      </c>
      <c r="AA6" s="27">
        <f t="shared" si="1"/>
        <v>7.8599999999999994</v>
      </c>
      <c r="AB6" s="27">
        <f t="shared" si="1"/>
        <v>7.8599999999999994</v>
      </c>
      <c r="AC6" s="27">
        <f t="shared" si="1"/>
        <v>7.8599999999999994</v>
      </c>
      <c r="AD6" s="27">
        <f t="shared" si="1"/>
        <v>7.8599999999999994</v>
      </c>
      <c r="AE6" s="27">
        <f t="shared" si="1"/>
        <v>7.8599999999999994</v>
      </c>
      <c r="AF6" s="27">
        <f t="shared" si="1"/>
        <v>8.0364000000000004</v>
      </c>
      <c r="AG6" s="27">
        <f t="shared" si="1"/>
        <v>8.0364000000000004</v>
      </c>
      <c r="AH6" s="27">
        <f t="shared" si="1"/>
        <v>8.0364000000000004</v>
      </c>
      <c r="AI6" s="27">
        <f t="shared" si="1"/>
        <v>8.0364000000000004</v>
      </c>
      <c r="AJ6" s="27">
        <f t="shared" si="1"/>
        <v>8.0364000000000004</v>
      </c>
      <c r="AK6" s="27">
        <f t="shared" si="1"/>
        <v>8.0364000000000004</v>
      </c>
      <c r="AL6" s="27">
        <f>SUM(B6:M6)</f>
        <v>32.783832000000004</v>
      </c>
      <c r="AM6" s="27">
        <f>SUM(N6:Y6)</f>
        <v>67.970399999999984</v>
      </c>
      <c r="AN6" s="27">
        <f>SUM(Z6:AK6)</f>
        <v>95.378399999999999</v>
      </c>
      <c r="AO6" s="27"/>
      <c r="AP6" s="27"/>
      <c r="AQ6" s="27"/>
    </row>
    <row r="7" spans="1:43">
      <c r="A7" s="22" t="s">
        <v>157</v>
      </c>
      <c r="B7" s="27">
        <f t="shared" ref="B7:AN7" si="2">B4-B6</f>
        <v>1.4680959999999996</v>
      </c>
      <c r="C7" s="27">
        <f t="shared" si="2"/>
        <v>1.2110399999999999</v>
      </c>
      <c r="D7" s="27">
        <f t="shared" si="2"/>
        <v>1.5636800000000002</v>
      </c>
      <c r="E7" s="27">
        <f t="shared" si="2"/>
        <v>4.7425500000000005</v>
      </c>
      <c r="F7" s="27">
        <f t="shared" si="2"/>
        <v>5.1340500000000002</v>
      </c>
      <c r="G7" s="27">
        <f t="shared" si="2"/>
        <v>5.6889000000000003</v>
      </c>
      <c r="H7" s="27">
        <f t="shared" si="2"/>
        <v>6.3866400000000016</v>
      </c>
      <c r="I7" s="27">
        <f t="shared" si="2"/>
        <v>6.64194</v>
      </c>
      <c r="J7" s="27">
        <f t="shared" si="2"/>
        <v>7.0573200000000007</v>
      </c>
      <c r="K7" s="27">
        <f t="shared" si="2"/>
        <v>8.4636499999999977</v>
      </c>
      <c r="L7" s="27">
        <f t="shared" si="2"/>
        <v>8.8029499999999992</v>
      </c>
      <c r="M7" s="27">
        <f t="shared" si="2"/>
        <v>9.1553000000000004</v>
      </c>
      <c r="N7" s="27">
        <f t="shared" si="2"/>
        <v>12.565200000000001</v>
      </c>
      <c r="O7" s="27">
        <f t="shared" si="2"/>
        <v>13.482799999999999</v>
      </c>
      <c r="P7" s="27">
        <f t="shared" si="2"/>
        <v>14.466999999999999</v>
      </c>
      <c r="Q7" s="27">
        <f t="shared" si="2"/>
        <v>16.399320000000003</v>
      </c>
      <c r="R7" s="27">
        <f t="shared" si="2"/>
        <v>17.547879999999999</v>
      </c>
      <c r="S7" s="27">
        <f t="shared" si="2"/>
        <v>18.731719999999996</v>
      </c>
      <c r="T7" s="27">
        <f t="shared" si="2"/>
        <v>21.290880000000001</v>
      </c>
      <c r="U7" s="27">
        <f t="shared" si="2"/>
        <v>21.708960000000001</v>
      </c>
      <c r="V7" s="27">
        <f t="shared" si="2"/>
        <v>22.133280000000003</v>
      </c>
      <c r="W7" s="27">
        <f t="shared" si="2"/>
        <v>23.436</v>
      </c>
      <c r="X7" s="27">
        <f t="shared" si="2"/>
        <v>23.896080000000001</v>
      </c>
      <c r="Y7" s="27">
        <f t="shared" si="2"/>
        <v>24.364800000000002</v>
      </c>
      <c r="Z7" s="27">
        <f t="shared" si="2"/>
        <v>29.867999999999995</v>
      </c>
      <c r="AA7" s="27">
        <f t="shared" si="2"/>
        <v>29.867999999999995</v>
      </c>
      <c r="AB7" s="27">
        <f t="shared" si="2"/>
        <v>29.867999999999995</v>
      </c>
      <c r="AC7" s="27">
        <f t="shared" si="2"/>
        <v>30.391999999999996</v>
      </c>
      <c r="AD7" s="27">
        <f t="shared" si="2"/>
        <v>30.391999999999996</v>
      </c>
      <c r="AE7" s="27">
        <f t="shared" si="2"/>
        <v>30.391999999999996</v>
      </c>
      <c r="AF7" s="27">
        <f t="shared" si="2"/>
        <v>31.475899999999996</v>
      </c>
      <c r="AG7" s="27">
        <f t="shared" si="2"/>
        <v>31.475899999999996</v>
      </c>
      <c r="AH7" s="27">
        <f t="shared" si="2"/>
        <v>31.475899999999996</v>
      </c>
      <c r="AI7" s="27">
        <f t="shared" si="2"/>
        <v>31.877719999999997</v>
      </c>
      <c r="AJ7" s="27">
        <f t="shared" si="2"/>
        <v>31.877719999999997</v>
      </c>
      <c r="AK7" s="27">
        <f t="shared" si="2"/>
        <v>31.877719999999997</v>
      </c>
      <c r="AL7" s="27">
        <f t="shared" si="2"/>
        <v>66.316116000000008</v>
      </c>
      <c r="AM7" s="27">
        <f t="shared" si="2"/>
        <v>230.02392000000003</v>
      </c>
      <c r="AN7" s="27">
        <f t="shared" si="2"/>
        <v>370.84085999999996</v>
      </c>
      <c r="AO7" s="27"/>
      <c r="AP7" s="27"/>
      <c r="AQ7" s="27"/>
    </row>
    <row r="8" spans="1:43">
      <c r="A8" s="22" t="s">
        <v>158</v>
      </c>
      <c r="B8" s="28">
        <f t="shared" ref="B8:AN8" si="3">B7/B2</f>
        <v>4.639999999999999E-2</v>
      </c>
      <c r="C8" s="28">
        <f t="shared" si="3"/>
        <v>4.6399999999999997E-2</v>
      </c>
      <c r="D8" s="28">
        <f t="shared" si="3"/>
        <v>4.6400000000000004E-2</v>
      </c>
      <c r="E8" s="28">
        <f t="shared" si="3"/>
        <v>0.13500000000000001</v>
      </c>
      <c r="F8" s="28">
        <f t="shared" si="3"/>
        <v>0.13500000000000001</v>
      </c>
      <c r="G8" s="28">
        <f t="shared" si="3"/>
        <v>0.13500000000000001</v>
      </c>
      <c r="H8" s="28">
        <f t="shared" si="3"/>
        <v>0.13800000000000004</v>
      </c>
      <c r="I8" s="28">
        <f t="shared" si="3"/>
        <v>0.13799999999999998</v>
      </c>
      <c r="J8" s="28">
        <f t="shared" si="3"/>
        <v>0.13800000000000001</v>
      </c>
      <c r="K8" s="28">
        <f t="shared" si="3"/>
        <v>0.14499999999999996</v>
      </c>
      <c r="L8" s="28">
        <f t="shared" si="3"/>
        <v>0.14499999999999999</v>
      </c>
      <c r="M8" s="28">
        <f t="shared" si="3"/>
        <v>0.14500000000000002</v>
      </c>
      <c r="N8" s="28">
        <f t="shared" si="3"/>
        <v>0.185</v>
      </c>
      <c r="O8" s="28">
        <f t="shared" si="3"/>
        <v>0.185</v>
      </c>
      <c r="P8" s="28">
        <f t="shared" si="3"/>
        <v>0.18499999999999997</v>
      </c>
      <c r="Q8" s="28">
        <f t="shared" si="3"/>
        <v>0.19600000000000004</v>
      </c>
      <c r="R8" s="28">
        <f t="shared" si="3"/>
        <v>0.19599999999999998</v>
      </c>
      <c r="S8" s="28">
        <f t="shared" si="3"/>
        <v>0.19599999999999998</v>
      </c>
      <c r="T8" s="28">
        <f t="shared" si="3"/>
        <v>0.20800000000000002</v>
      </c>
      <c r="U8" s="28">
        <f t="shared" si="3"/>
        <v>0.20799999999999999</v>
      </c>
      <c r="V8" s="28">
        <f t="shared" si="3"/>
        <v>0.20800000000000005</v>
      </c>
      <c r="W8" s="28">
        <f t="shared" si="3"/>
        <v>0.216</v>
      </c>
      <c r="X8" s="28">
        <f t="shared" si="3"/>
        <v>0.21600000000000003</v>
      </c>
      <c r="Y8" s="28">
        <f t="shared" si="3"/>
        <v>0.21600000000000003</v>
      </c>
      <c r="Z8" s="28">
        <f t="shared" si="3"/>
        <v>0.22799999999999995</v>
      </c>
      <c r="AA8" s="28">
        <f t="shared" si="3"/>
        <v>0.22799999999999995</v>
      </c>
      <c r="AB8" s="28">
        <f t="shared" si="3"/>
        <v>0.22799999999999995</v>
      </c>
      <c r="AC8" s="28">
        <f t="shared" si="3"/>
        <v>0.23199999999999996</v>
      </c>
      <c r="AD8" s="28">
        <f t="shared" si="3"/>
        <v>0.23199999999999996</v>
      </c>
      <c r="AE8" s="28">
        <f t="shared" si="3"/>
        <v>0.23199999999999996</v>
      </c>
      <c r="AF8" s="28">
        <f t="shared" si="3"/>
        <v>0.23499999999999996</v>
      </c>
      <c r="AG8" s="28">
        <f t="shared" si="3"/>
        <v>0.23499999999999996</v>
      </c>
      <c r="AH8" s="28">
        <f t="shared" si="3"/>
        <v>0.23499999999999996</v>
      </c>
      <c r="AI8" s="28">
        <f t="shared" si="3"/>
        <v>0.23799999999999999</v>
      </c>
      <c r="AJ8" s="28">
        <f t="shared" si="3"/>
        <v>0.23799999999999999</v>
      </c>
      <c r="AK8" s="28">
        <f t="shared" si="3"/>
        <v>0.23799999999999999</v>
      </c>
      <c r="AL8" s="28">
        <f t="shared" si="3"/>
        <v>0.12406899029017232</v>
      </c>
      <c r="AM8" s="28">
        <f t="shared" si="3"/>
        <v>0.20305066911479119</v>
      </c>
      <c r="AN8" s="28">
        <f t="shared" si="3"/>
        <v>0.23328606476938168</v>
      </c>
      <c r="AO8" s="28"/>
      <c r="AP8" s="28"/>
      <c r="AQ8" s="28"/>
    </row>
    <row r="9" spans="1:43">
      <c r="A9" s="22" t="s">
        <v>159</v>
      </c>
      <c r="B9" s="27">
        <v>0.16700000000000001</v>
      </c>
      <c r="C9" s="27">
        <v>0.16700000000000001</v>
      </c>
      <c r="D9" s="27">
        <v>0.16700000000000001</v>
      </c>
      <c r="E9" s="27">
        <v>0.16700000000000001</v>
      </c>
      <c r="F9" s="27">
        <v>0.16700000000000001</v>
      </c>
      <c r="G9" s="27">
        <v>0.16700000000000001</v>
      </c>
      <c r="H9" s="27">
        <v>0.16700000000000001</v>
      </c>
      <c r="I9" s="27">
        <v>0.16700000000000001</v>
      </c>
      <c r="J9" s="27">
        <v>0.16700000000000001</v>
      </c>
      <c r="K9" s="27">
        <v>0.16700000000000001</v>
      </c>
      <c r="L9" s="27">
        <v>0.16700000000000001</v>
      </c>
      <c r="M9" s="27">
        <v>0.16700000000000001</v>
      </c>
      <c r="N9" s="27">
        <v>0.25</v>
      </c>
      <c r="O9" s="27">
        <v>0.25</v>
      </c>
      <c r="P9" s="27">
        <v>0.25</v>
      </c>
      <c r="Q9" s="27">
        <v>0.25</v>
      </c>
      <c r="R9" s="27">
        <v>0.25</v>
      </c>
      <c r="S9" s="27">
        <v>0.25</v>
      </c>
      <c r="T9" s="27">
        <v>0.25</v>
      </c>
      <c r="U9" s="27">
        <v>0.25</v>
      </c>
      <c r="V9" s="27">
        <v>0.25</v>
      </c>
      <c r="W9" s="27">
        <v>0.25</v>
      </c>
      <c r="X9" s="27">
        <v>0.25</v>
      </c>
      <c r="Y9" s="27">
        <v>0.25</v>
      </c>
      <c r="Z9" s="27">
        <v>0.3</v>
      </c>
      <c r="AA9" s="27">
        <v>0.3</v>
      </c>
      <c r="AB9" s="27">
        <v>0.3</v>
      </c>
      <c r="AC9" s="27">
        <v>0.3</v>
      </c>
      <c r="AD9" s="27">
        <v>0.3</v>
      </c>
      <c r="AE9" s="27">
        <v>0.3</v>
      </c>
      <c r="AF9" s="27">
        <v>0.3</v>
      </c>
      <c r="AG9" s="27">
        <v>0.3</v>
      </c>
      <c r="AH9" s="27">
        <v>0.3</v>
      </c>
      <c r="AI9" s="27">
        <v>0.3</v>
      </c>
      <c r="AJ9" s="27">
        <v>0.3</v>
      </c>
      <c r="AK9" s="27">
        <v>0.3</v>
      </c>
      <c r="AL9" s="27">
        <f>SUM(B9:M9)</f>
        <v>2.004</v>
      </c>
      <c r="AM9" s="27">
        <f>SUM(N9:Y9)</f>
        <v>3</v>
      </c>
      <c r="AN9" s="27">
        <f>SUM(Z9:AK9)</f>
        <v>3.5999999999999992</v>
      </c>
      <c r="AO9" s="27"/>
      <c r="AP9" s="27"/>
      <c r="AQ9" s="27"/>
    </row>
    <row r="10" spans="1:43">
      <c r="A10" s="22" t="s">
        <v>160</v>
      </c>
      <c r="B10" s="28">
        <f t="shared" ref="B10:AN10" si="4">B11/B2</f>
        <v>5.1678128950695311E-2</v>
      </c>
      <c r="C10" s="28">
        <f t="shared" si="4"/>
        <v>5.2798467432950184E-2</v>
      </c>
      <c r="D10" s="28">
        <f t="shared" si="4"/>
        <v>5.1355489614243327E-2</v>
      </c>
      <c r="E10" s="28">
        <f t="shared" si="4"/>
        <v>0.13975377170509537</v>
      </c>
      <c r="F10" s="28">
        <f t="shared" si="4"/>
        <v>0.13939127004996055</v>
      </c>
      <c r="G10" s="28">
        <f t="shared" si="4"/>
        <v>0.13896298054105363</v>
      </c>
      <c r="H10" s="28">
        <f t="shared" si="4"/>
        <v>0.14160847018150391</v>
      </c>
      <c r="I10" s="28">
        <f t="shared" si="4"/>
        <v>0.14146976937461042</v>
      </c>
      <c r="J10" s="28">
        <f t="shared" si="4"/>
        <v>0.14126554556120455</v>
      </c>
      <c r="K10" s="28">
        <f t="shared" si="4"/>
        <v>0.14786105876306319</v>
      </c>
      <c r="L10" s="28">
        <f t="shared" si="4"/>
        <v>0.14775078240816997</v>
      </c>
      <c r="M10" s="28">
        <f t="shared" si="4"/>
        <v>0.14764491605955021</v>
      </c>
      <c r="N10" s="28">
        <f t="shared" si="4"/>
        <v>0.18868080094228504</v>
      </c>
      <c r="O10" s="28">
        <f t="shared" si="4"/>
        <v>0.18843029637760703</v>
      </c>
      <c r="P10" s="28">
        <f t="shared" si="4"/>
        <v>0.18819693094629153</v>
      </c>
      <c r="Q10" s="28">
        <f t="shared" si="4"/>
        <v>0.19898792876777821</v>
      </c>
      <c r="R10" s="28">
        <f t="shared" si="4"/>
        <v>0.19879236010275883</v>
      </c>
      <c r="S10" s="28">
        <f t="shared" si="4"/>
        <v>0.19861588364549543</v>
      </c>
      <c r="T10" s="28">
        <f t="shared" si="4"/>
        <v>0.21044236029699104</v>
      </c>
      <c r="U10" s="28">
        <f t="shared" si="4"/>
        <v>0.21039532432691388</v>
      </c>
      <c r="V10" s="28">
        <f t="shared" si="4"/>
        <v>0.21034940325157414</v>
      </c>
      <c r="W10" s="28">
        <f t="shared" si="4"/>
        <v>0.21830414746543778</v>
      </c>
      <c r="X10" s="28">
        <f t="shared" si="4"/>
        <v>0.21825978486848055</v>
      </c>
      <c r="Y10" s="28">
        <f t="shared" si="4"/>
        <v>0.21821631205673761</v>
      </c>
      <c r="Z10" s="28">
        <f t="shared" si="4"/>
        <v>0.23029007633587784</v>
      </c>
      <c r="AA10" s="28">
        <f t="shared" si="4"/>
        <v>0.23029007633587784</v>
      </c>
      <c r="AB10" s="28">
        <f t="shared" si="4"/>
        <v>0.23029007633587784</v>
      </c>
      <c r="AC10" s="28">
        <f t="shared" si="4"/>
        <v>0.23429007633587784</v>
      </c>
      <c r="AD10" s="28">
        <f t="shared" si="4"/>
        <v>0.23429007633587784</v>
      </c>
      <c r="AE10" s="28">
        <f t="shared" si="4"/>
        <v>0.23429007633587784</v>
      </c>
      <c r="AF10" s="28">
        <f t="shared" si="4"/>
        <v>0.2372398088696431</v>
      </c>
      <c r="AG10" s="28">
        <f t="shared" si="4"/>
        <v>0.2372398088696431</v>
      </c>
      <c r="AH10" s="28">
        <f t="shared" si="4"/>
        <v>0.2372398088696431</v>
      </c>
      <c r="AI10" s="28">
        <f t="shared" si="4"/>
        <v>0.24023980886964308</v>
      </c>
      <c r="AJ10" s="28">
        <f t="shared" si="4"/>
        <v>0.24023980886964308</v>
      </c>
      <c r="AK10" s="28">
        <f t="shared" si="4"/>
        <v>0.24023980886964308</v>
      </c>
      <c r="AL10" s="28">
        <f t="shared" si="4"/>
        <v>0.12781821855531236</v>
      </c>
      <c r="AM10" s="28">
        <f t="shared" si="4"/>
        <v>0.20569888068924125</v>
      </c>
      <c r="AN10" s="28">
        <f t="shared" si="4"/>
        <v>0.23555072846682262</v>
      </c>
      <c r="AO10" s="28"/>
      <c r="AP10" s="28"/>
      <c r="AQ10" s="28"/>
    </row>
    <row r="11" spans="1:43">
      <c r="A11" s="22" t="s">
        <v>161</v>
      </c>
      <c r="B11" s="27">
        <f t="shared" ref="B11:AN11" si="5">B7+B9</f>
        <v>1.6350959999999997</v>
      </c>
      <c r="C11" s="27">
        <f t="shared" si="5"/>
        <v>1.3780399999999999</v>
      </c>
      <c r="D11" s="27">
        <f t="shared" si="5"/>
        <v>1.7306800000000002</v>
      </c>
      <c r="E11" s="27">
        <f t="shared" si="5"/>
        <v>4.9095500000000003</v>
      </c>
      <c r="F11" s="27">
        <f t="shared" si="5"/>
        <v>5.30105</v>
      </c>
      <c r="G11" s="27">
        <f t="shared" si="5"/>
        <v>5.8559000000000001</v>
      </c>
      <c r="H11" s="27">
        <f t="shared" si="5"/>
        <v>6.5536400000000015</v>
      </c>
      <c r="I11" s="27">
        <f t="shared" si="5"/>
        <v>6.8089399999999998</v>
      </c>
      <c r="J11" s="27">
        <f t="shared" si="5"/>
        <v>7.2243200000000005</v>
      </c>
      <c r="K11" s="27">
        <f t="shared" si="5"/>
        <v>8.6306499999999975</v>
      </c>
      <c r="L11" s="27">
        <f t="shared" si="5"/>
        <v>8.969949999999999</v>
      </c>
      <c r="M11" s="27">
        <f t="shared" si="5"/>
        <v>9.3223000000000003</v>
      </c>
      <c r="N11" s="27">
        <f t="shared" si="5"/>
        <v>12.815200000000001</v>
      </c>
      <c r="O11" s="27">
        <f t="shared" si="5"/>
        <v>13.732799999999999</v>
      </c>
      <c r="P11" s="27">
        <f t="shared" si="5"/>
        <v>14.716999999999999</v>
      </c>
      <c r="Q11" s="27">
        <f t="shared" si="5"/>
        <v>16.649320000000003</v>
      </c>
      <c r="R11" s="27">
        <f t="shared" si="5"/>
        <v>17.797879999999999</v>
      </c>
      <c r="S11" s="27">
        <f t="shared" si="5"/>
        <v>18.981719999999996</v>
      </c>
      <c r="T11" s="27">
        <f t="shared" si="5"/>
        <v>21.540880000000001</v>
      </c>
      <c r="U11" s="27">
        <f t="shared" si="5"/>
        <v>21.958960000000001</v>
      </c>
      <c r="V11" s="27">
        <f t="shared" si="5"/>
        <v>22.383280000000003</v>
      </c>
      <c r="W11" s="27">
        <f t="shared" si="5"/>
        <v>23.686</v>
      </c>
      <c r="X11" s="27">
        <f t="shared" si="5"/>
        <v>24.146080000000001</v>
      </c>
      <c r="Y11" s="27">
        <f t="shared" si="5"/>
        <v>24.614800000000002</v>
      </c>
      <c r="Z11" s="27">
        <f t="shared" si="5"/>
        <v>30.167999999999996</v>
      </c>
      <c r="AA11" s="27">
        <f t="shared" si="5"/>
        <v>30.167999999999996</v>
      </c>
      <c r="AB11" s="27">
        <f t="shared" si="5"/>
        <v>30.167999999999996</v>
      </c>
      <c r="AC11" s="27">
        <f t="shared" si="5"/>
        <v>30.691999999999997</v>
      </c>
      <c r="AD11" s="27">
        <f t="shared" si="5"/>
        <v>30.691999999999997</v>
      </c>
      <c r="AE11" s="27">
        <f t="shared" si="5"/>
        <v>30.691999999999997</v>
      </c>
      <c r="AF11" s="27">
        <f t="shared" si="5"/>
        <v>31.775899999999996</v>
      </c>
      <c r="AG11" s="27">
        <f t="shared" si="5"/>
        <v>31.775899999999996</v>
      </c>
      <c r="AH11" s="27">
        <f t="shared" si="5"/>
        <v>31.775899999999996</v>
      </c>
      <c r="AI11" s="27">
        <f t="shared" si="5"/>
        <v>32.177719999999994</v>
      </c>
      <c r="AJ11" s="27">
        <f t="shared" si="5"/>
        <v>32.177719999999994</v>
      </c>
      <c r="AK11" s="27">
        <f t="shared" si="5"/>
        <v>32.177719999999994</v>
      </c>
      <c r="AL11" s="27">
        <f t="shared" si="5"/>
        <v>68.320116000000013</v>
      </c>
      <c r="AM11" s="27">
        <f t="shared" si="5"/>
        <v>233.02392000000003</v>
      </c>
      <c r="AN11" s="27">
        <f t="shared" si="5"/>
        <v>374.44085999999999</v>
      </c>
      <c r="AO11" s="27"/>
      <c r="AP11" s="27"/>
      <c r="AQ11" s="27"/>
    </row>
    <row r="12" spans="1:43">
      <c r="A12" s="22" t="s">
        <v>162</v>
      </c>
      <c r="B12" s="27">
        <f>B11*0.348</f>
        <v>0.56901340799999989</v>
      </c>
      <c r="C12" s="27">
        <f>C11*0.348</f>
        <v>0.47955791999999997</v>
      </c>
      <c r="D12" s="27">
        <f>D11*0.348</f>
        <v>0.60227664000000003</v>
      </c>
      <c r="E12" s="27">
        <f t="shared" ref="E12:M12" si="6">E11*0.32</f>
        <v>1.5710560000000002</v>
      </c>
      <c r="F12" s="27">
        <f t="shared" si="6"/>
        <v>1.6963360000000001</v>
      </c>
      <c r="G12" s="27">
        <f t="shared" si="6"/>
        <v>1.873888</v>
      </c>
      <c r="H12" s="27">
        <f t="shared" si="6"/>
        <v>2.0971648000000007</v>
      </c>
      <c r="I12" s="27">
        <f t="shared" si="6"/>
        <v>2.1788607999999998</v>
      </c>
      <c r="J12" s="27">
        <f t="shared" si="6"/>
        <v>2.3117824000000002</v>
      </c>
      <c r="K12" s="27">
        <f t="shared" si="6"/>
        <v>2.7618079999999994</v>
      </c>
      <c r="L12" s="27">
        <f t="shared" si="6"/>
        <v>2.8703839999999996</v>
      </c>
      <c r="M12" s="27">
        <f t="shared" si="6"/>
        <v>2.983136</v>
      </c>
      <c r="N12" s="27">
        <f t="shared" ref="N12:Y12" si="7">N11*0.3</f>
        <v>3.84456</v>
      </c>
      <c r="O12" s="27">
        <f t="shared" si="7"/>
        <v>4.1198399999999999</v>
      </c>
      <c r="P12" s="27">
        <f t="shared" si="7"/>
        <v>4.4150999999999998</v>
      </c>
      <c r="Q12" s="27">
        <f t="shared" si="7"/>
        <v>4.9947960000000009</v>
      </c>
      <c r="R12" s="27">
        <f t="shared" si="7"/>
        <v>5.3393639999999998</v>
      </c>
      <c r="S12" s="27">
        <f t="shared" si="7"/>
        <v>5.6945159999999984</v>
      </c>
      <c r="T12" s="27">
        <f t="shared" si="7"/>
        <v>6.4622640000000002</v>
      </c>
      <c r="U12" s="27">
        <f t="shared" si="7"/>
        <v>6.587688</v>
      </c>
      <c r="V12" s="27">
        <f t="shared" si="7"/>
        <v>6.7149840000000003</v>
      </c>
      <c r="W12" s="27">
        <f t="shared" si="7"/>
        <v>7.1057999999999995</v>
      </c>
      <c r="X12" s="27">
        <f t="shared" si="7"/>
        <v>7.243824</v>
      </c>
      <c r="Y12" s="27">
        <f t="shared" si="7"/>
        <v>7.3844400000000006</v>
      </c>
      <c r="Z12" s="27">
        <f t="shared" ref="Z12:AK12" si="8">Z11*0.299</f>
        <v>9.0202319999999983</v>
      </c>
      <c r="AA12" s="27">
        <f t="shared" si="8"/>
        <v>9.0202319999999983</v>
      </c>
      <c r="AB12" s="27">
        <f t="shared" si="8"/>
        <v>9.0202319999999983</v>
      </c>
      <c r="AC12" s="27">
        <f t="shared" si="8"/>
        <v>9.1769079999999992</v>
      </c>
      <c r="AD12" s="27">
        <f t="shared" si="8"/>
        <v>9.1769079999999992</v>
      </c>
      <c r="AE12" s="27">
        <f t="shared" si="8"/>
        <v>9.1769079999999992</v>
      </c>
      <c r="AF12" s="27">
        <f t="shared" si="8"/>
        <v>9.500994099999998</v>
      </c>
      <c r="AG12" s="27">
        <f t="shared" si="8"/>
        <v>9.500994099999998</v>
      </c>
      <c r="AH12" s="27">
        <f t="shared" si="8"/>
        <v>9.500994099999998</v>
      </c>
      <c r="AI12" s="27">
        <f t="shared" si="8"/>
        <v>9.6211382799999985</v>
      </c>
      <c r="AJ12" s="27">
        <f t="shared" si="8"/>
        <v>9.6211382799999985</v>
      </c>
      <c r="AK12" s="27">
        <f t="shared" si="8"/>
        <v>9.6211382799999985</v>
      </c>
      <c r="AL12" s="27">
        <f>SUM(B12:M12)</f>
        <v>21.995263968000003</v>
      </c>
      <c r="AM12" s="27">
        <f>SUM(N12:Y12)</f>
        <v>69.907175999999993</v>
      </c>
      <c r="AN12" s="27">
        <f>SUM(Z12:AK12)</f>
        <v>111.95781713999997</v>
      </c>
      <c r="AO12" s="27"/>
      <c r="AP12" s="27"/>
      <c r="AQ12" s="27"/>
    </row>
    <row r="13" spans="1:43">
      <c r="A13" s="22" t="s">
        <v>163</v>
      </c>
      <c r="B13" s="28">
        <f t="shared" ref="B13:AN13" si="9">B14/B2</f>
        <v>3.3694140075853349E-2</v>
      </c>
      <c r="C13" s="28">
        <f t="shared" si="9"/>
        <v>3.4424600766283522E-2</v>
      </c>
      <c r="D13" s="28">
        <f t="shared" si="9"/>
        <v>3.3483779228486645E-2</v>
      </c>
      <c r="E13" s="28">
        <f t="shared" si="9"/>
        <v>9.5032564759464838E-2</v>
      </c>
      <c r="F13" s="28">
        <f t="shared" si="9"/>
        <v>9.4786063633973169E-2</v>
      </c>
      <c r="G13" s="28">
        <f t="shared" si="9"/>
        <v>9.4494826767916471E-2</v>
      </c>
      <c r="H13" s="28">
        <f t="shared" si="9"/>
        <v>9.6293759723422662E-2</v>
      </c>
      <c r="I13" s="28">
        <f t="shared" si="9"/>
        <v>9.6199443174735083E-2</v>
      </c>
      <c r="J13" s="28">
        <f t="shared" si="9"/>
        <v>9.6060570981619089E-2</v>
      </c>
      <c r="K13" s="28">
        <f t="shared" si="9"/>
        <v>0.10054551995888296</v>
      </c>
      <c r="L13" s="28">
        <f t="shared" si="9"/>
        <v>0.10047053203755558</v>
      </c>
      <c r="M13" s="28">
        <f t="shared" si="9"/>
        <v>0.10039854292049415</v>
      </c>
      <c r="N13" s="28">
        <f t="shared" si="9"/>
        <v>0.13207656065959955</v>
      </c>
      <c r="O13" s="28">
        <f t="shared" si="9"/>
        <v>0.1319012074643249</v>
      </c>
      <c r="P13" s="28">
        <f t="shared" si="9"/>
        <v>0.13173785166240409</v>
      </c>
      <c r="Q13" s="28">
        <f t="shared" si="9"/>
        <v>0.13929155013744474</v>
      </c>
      <c r="R13" s="28">
        <f t="shared" si="9"/>
        <v>0.1391546520719312</v>
      </c>
      <c r="S13" s="28">
        <f t="shared" si="9"/>
        <v>0.1390311185518468</v>
      </c>
      <c r="T13" s="28">
        <f t="shared" si="9"/>
        <v>0.14730965220789372</v>
      </c>
      <c r="U13" s="28">
        <f t="shared" si="9"/>
        <v>0.1472767270288397</v>
      </c>
      <c r="V13" s="28">
        <f t="shared" si="9"/>
        <v>0.14724458227610188</v>
      </c>
      <c r="W13" s="28">
        <f t="shared" si="9"/>
        <v>0.15281290322580646</v>
      </c>
      <c r="X13" s="28">
        <f t="shared" si="9"/>
        <v>0.15278184940793638</v>
      </c>
      <c r="Y13" s="28">
        <f t="shared" si="9"/>
        <v>0.15275141843971632</v>
      </c>
      <c r="Z13" s="28">
        <f t="shared" si="9"/>
        <v>0.16143334351145039</v>
      </c>
      <c r="AA13" s="28">
        <f t="shared" si="9"/>
        <v>0.16143334351145039</v>
      </c>
      <c r="AB13" s="28">
        <f t="shared" si="9"/>
        <v>0.16143334351145039</v>
      </c>
      <c r="AC13" s="28">
        <f t="shared" si="9"/>
        <v>0.16423734351145036</v>
      </c>
      <c r="AD13" s="28">
        <f t="shared" si="9"/>
        <v>0.16423734351145036</v>
      </c>
      <c r="AE13" s="28">
        <f t="shared" si="9"/>
        <v>0.16423734351145036</v>
      </c>
      <c r="AF13" s="28">
        <f t="shared" si="9"/>
        <v>0.16630510601761983</v>
      </c>
      <c r="AG13" s="28">
        <f t="shared" si="9"/>
        <v>0.16630510601761983</v>
      </c>
      <c r="AH13" s="28">
        <f t="shared" si="9"/>
        <v>0.16630510601761983</v>
      </c>
      <c r="AI13" s="28">
        <f t="shared" si="9"/>
        <v>0.1684081060176198</v>
      </c>
      <c r="AJ13" s="28">
        <f t="shared" si="9"/>
        <v>0.1684081060176198</v>
      </c>
      <c r="AK13" s="28">
        <f t="shared" si="9"/>
        <v>0.1684081060176198</v>
      </c>
      <c r="AL13" s="28">
        <f t="shared" si="9"/>
        <v>8.6667886535331445E-2</v>
      </c>
      <c r="AM13" s="28">
        <f t="shared" si="9"/>
        <v>0.14398921648246887</v>
      </c>
      <c r="AN13" s="28">
        <f t="shared" si="9"/>
        <v>0.16512106065524268</v>
      </c>
      <c r="AO13" s="28"/>
      <c r="AP13" s="28"/>
      <c r="AQ13" s="28"/>
    </row>
    <row r="14" spans="1:43">
      <c r="A14" s="22" t="s">
        <v>164</v>
      </c>
      <c r="B14" s="27">
        <f t="shared" ref="B14:AN14" si="10">B11-B12</f>
        <v>1.0660825919999999</v>
      </c>
      <c r="C14" s="27">
        <f t="shared" si="10"/>
        <v>0.89848207999999996</v>
      </c>
      <c r="D14" s="27">
        <f t="shared" si="10"/>
        <v>1.1284033600000001</v>
      </c>
      <c r="E14" s="27">
        <f t="shared" si="10"/>
        <v>3.3384939999999999</v>
      </c>
      <c r="F14" s="27">
        <f t="shared" si="10"/>
        <v>3.604714</v>
      </c>
      <c r="G14" s="27">
        <f t="shared" si="10"/>
        <v>3.9820120000000001</v>
      </c>
      <c r="H14" s="27">
        <f t="shared" si="10"/>
        <v>4.4564752000000007</v>
      </c>
      <c r="I14" s="27">
        <f t="shared" si="10"/>
        <v>4.6300792</v>
      </c>
      <c r="J14" s="27">
        <f t="shared" si="10"/>
        <v>4.9125376000000003</v>
      </c>
      <c r="K14" s="27">
        <f t="shared" si="10"/>
        <v>5.8688419999999981</v>
      </c>
      <c r="L14" s="27">
        <f t="shared" si="10"/>
        <v>6.0995659999999994</v>
      </c>
      <c r="M14" s="27">
        <f t="shared" si="10"/>
        <v>6.3391640000000002</v>
      </c>
      <c r="N14" s="27">
        <f t="shared" si="10"/>
        <v>8.9706400000000013</v>
      </c>
      <c r="O14" s="27">
        <f t="shared" si="10"/>
        <v>9.6129599999999993</v>
      </c>
      <c r="P14" s="27">
        <f t="shared" si="10"/>
        <v>10.3019</v>
      </c>
      <c r="Q14" s="27">
        <f t="shared" si="10"/>
        <v>11.654524000000002</v>
      </c>
      <c r="R14" s="27">
        <f t="shared" si="10"/>
        <v>12.458515999999999</v>
      </c>
      <c r="S14" s="27">
        <f t="shared" si="10"/>
        <v>13.287203999999997</v>
      </c>
      <c r="T14" s="27">
        <f t="shared" si="10"/>
        <v>15.078616</v>
      </c>
      <c r="U14" s="27">
        <f t="shared" si="10"/>
        <v>15.371272000000001</v>
      </c>
      <c r="V14" s="27">
        <f t="shared" si="10"/>
        <v>15.668296000000002</v>
      </c>
      <c r="W14" s="27">
        <f t="shared" si="10"/>
        <v>16.580200000000001</v>
      </c>
      <c r="X14" s="27">
        <f t="shared" si="10"/>
        <v>16.902256000000001</v>
      </c>
      <c r="Y14" s="27">
        <f t="shared" si="10"/>
        <v>17.230360000000001</v>
      </c>
      <c r="Z14" s="27">
        <f t="shared" si="10"/>
        <v>21.147767999999999</v>
      </c>
      <c r="AA14" s="27">
        <f t="shared" si="10"/>
        <v>21.147767999999999</v>
      </c>
      <c r="AB14" s="27">
        <f t="shared" si="10"/>
        <v>21.147767999999999</v>
      </c>
      <c r="AC14" s="27">
        <f t="shared" si="10"/>
        <v>21.515091999999996</v>
      </c>
      <c r="AD14" s="27">
        <f t="shared" si="10"/>
        <v>21.515091999999996</v>
      </c>
      <c r="AE14" s="27">
        <f t="shared" si="10"/>
        <v>21.515091999999996</v>
      </c>
      <c r="AF14" s="27">
        <f t="shared" si="10"/>
        <v>22.2749059</v>
      </c>
      <c r="AG14" s="27">
        <f t="shared" si="10"/>
        <v>22.2749059</v>
      </c>
      <c r="AH14" s="27">
        <f t="shared" si="10"/>
        <v>22.2749059</v>
      </c>
      <c r="AI14" s="27">
        <f t="shared" si="10"/>
        <v>22.556581719999997</v>
      </c>
      <c r="AJ14" s="27">
        <f t="shared" si="10"/>
        <v>22.556581719999997</v>
      </c>
      <c r="AK14" s="27">
        <f t="shared" si="10"/>
        <v>22.556581719999997</v>
      </c>
      <c r="AL14" s="27">
        <f t="shared" si="10"/>
        <v>46.32485203200001</v>
      </c>
      <c r="AM14" s="27">
        <f t="shared" si="10"/>
        <v>163.11674400000004</v>
      </c>
      <c r="AN14" s="27">
        <f t="shared" si="10"/>
        <v>262.48304286000001</v>
      </c>
      <c r="AO14" s="27"/>
      <c r="AP14" s="27"/>
      <c r="AQ14" s="27"/>
    </row>
    <row r="15" spans="1:43">
      <c r="A15" s="22" t="s">
        <v>165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</row>
    <row r="16" spans="1:43">
      <c r="A16" s="22" t="s">
        <v>166</v>
      </c>
      <c r="B16" s="28">
        <f t="shared" ref="B16:AN16" si="11">B17/B2</f>
        <v>3.3694140075853349E-2</v>
      </c>
      <c r="C16" s="28">
        <f t="shared" si="11"/>
        <v>3.4424600766283522E-2</v>
      </c>
      <c r="D16" s="28">
        <f t="shared" si="11"/>
        <v>3.3483779228486645E-2</v>
      </c>
      <c r="E16" s="28">
        <f t="shared" si="11"/>
        <v>9.5032564759464838E-2</v>
      </c>
      <c r="F16" s="28">
        <f t="shared" si="11"/>
        <v>9.4786063633973169E-2</v>
      </c>
      <c r="G16" s="28">
        <f t="shared" si="11"/>
        <v>9.4494826767916471E-2</v>
      </c>
      <c r="H16" s="28">
        <f t="shared" si="11"/>
        <v>9.6293759723422662E-2</v>
      </c>
      <c r="I16" s="28">
        <f t="shared" si="11"/>
        <v>9.6199443174735083E-2</v>
      </c>
      <c r="J16" s="28">
        <f t="shared" si="11"/>
        <v>9.6060570981619089E-2</v>
      </c>
      <c r="K16" s="28">
        <f t="shared" si="11"/>
        <v>0.10054551995888296</v>
      </c>
      <c r="L16" s="28">
        <f t="shared" si="11"/>
        <v>0.10047053203755558</v>
      </c>
      <c r="M16" s="28">
        <f t="shared" si="11"/>
        <v>0.10039854292049415</v>
      </c>
      <c r="N16" s="28">
        <f t="shared" si="11"/>
        <v>0.13207656065959955</v>
      </c>
      <c r="O16" s="28">
        <f t="shared" si="11"/>
        <v>0.1319012074643249</v>
      </c>
      <c r="P16" s="28">
        <f t="shared" si="11"/>
        <v>0.13173785166240409</v>
      </c>
      <c r="Q16" s="28">
        <f t="shared" si="11"/>
        <v>0.13929155013744474</v>
      </c>
      <c r="R16" s="28">
        <f t="shared" si="11"/>
        <v>0.1391546520719312</v>
      </c>
      <c r="S16" s="28">
        <f t="shared" si="11"/>
        <v>0.1390311185518468</v>
      </c>
      <c r="T16" s="28">
        <f t="shared" si="11"/>
        <v>0.14730965220789372</v>
      </c>
      <c r="U16" s="28">
        <f t="shared" si="11"/>
        <v>0.1472767270288397</v>
      </c>
      <c r="V16" s="28">
        <f t="shared" si="11"/>
        <v>0.14724458227610188</v>
      </c>
      <c r="W16" s="28">
        <f t="shared" si="11"/>
        <v>0.15281290322580646</v>
      </c>
      <c r="X16" s="28">
        <f t="shared" si="11"/>
        <v>0.15278184940793638</v>
      </c>
      <c r="Y16" s="28">
        <f t="shared" si="11"/>
        <v>0.15275141843971632</v>
      </c>
      <c r="Z16" s="28">
        <f t="shared" si="11"/>
        <v>0.16143334351145039</v>
      </c>
      <c r="AA16" s="28">
        <f t="shared" si="11"/>
        <v>0.16143334351145039</v>
      </c>
      <c r="AB16" s="28">
        <f t="shared" si="11"/>
        <v>0.16143334351145039</v>
      </c>
      <c r="AC16" s="28">
        <f t="shared" si="11"/>
        <v>0.16423734351145036</v>
      </c>
      <c r="AD16" s="28">
        <f t="shared" si="11"/>
        <v>0.16423734351145036</v>
      </c>
      <c r="AE16" s="28">
        <f t="shared" si="11"/>
        <v>0.16423734351145036</v>
      </c>
      <c r="AF16" s="28">
        <f t="shared" si="11"/>
        <v>0.16630510601761983</v>
      </c>
      <c r="AG16" s="28">
        <f t="shared" si="11"/>
        <v>0.16630510601761983</v>
      </c>
      <c r="AH16" s="28">
        <f t="shared" si="11"/>
        <v>0.16630510601761983</v>
      </c>
      <c r="AI16" s="28">
        <f t="shared" si="11"/>
        <v>0.1684081060176198</v>
      </c>
      <c r="AJ16" s="28">
        <f t="shared" si="11"/>
        <v>0.1684081060176198</v>
      </c>
      <c r="AK16" s="28">
        <f t="shared" si="11"/>
        <v>0.1684081060176198</v>
      </c>
      <c r="AL16" s="28">
        <f t="shared" si="11"/>
        <v>8.6667886535331445E-2</v>
      </c>
      <c r="AM16" s="28">
        <f t="shared" si="11"/>
        <v>0.14398921648246887</v>
      </c>
      <c r="AN16" s="28">
        <f t="shared" si="11"/>
        <v>0.16512106065524268</v>
      </c>
      <c r="AO16" s="28"/>
      <c r="AP16" s="28"/>
      <c r="AQ16" s="28"/>
    </row>
    <row r="17" spans="1:43">
      <c r="A17" s="22" t="s">
        <v>167</v>
      </c>
      <c r="B17" s="27">
        <f t="shared" ref="B17:AN17" si="12">B14*B15</f>
        <v>1.0660825919999999</v>
      </c>
      <c r="C17" s="27">
        <f t="shared" si="12"/>
        <v>0.89848207999999996</v>
      </c>
      <c r="D17" s="27">
        <f t="shared" si="12"/>
        <v>1.1284033600000001</v>
      </c>
      <c r="E17" s="27">
        <f t="shared" si="12"/>
        <v>3.3384939999999999</v>
      </c>
      <c r="F17" s="27">
        <f t="shared" si="12"/>
        <v>3.604714</v>
      </c>
      <c r="G17" s="27">
        <f t="shared" si="12"/>
        <v>3.9820120000000001</v>
      </c>
      <c r="H17" s="27">
        <f t="shared" si="12"/>
        <v>4.4564752000000007</v>
      </c>
      <c r="I17" s="27">
        <f t="shared" si="12"/>
        <v>4.6300792</v>
      </c>
      <c r="J17" s="27">
        <f t="shared" si="12"/>
        <v>4.9125376000000003</v>
      </c>
      <c r="K17" s="27">
        <f t="shared" si="12"/>
        <v>5.8688419999999981</v>
      </c>
      <c r="L17" s="27">
        <f t="shared" si="12"/>
        <v>6.0995659999999994</v>
      </c>
      <c r="M17" s="27">
        <f t="shared" si="12"/>
        <v>6.3391640000000002</v>
      </c>
      <c r="N17" s="27">
        <f t="shared" si="12"/>
        <v>8.9706400000000013</v>
      </c>
      <c r="O17" s="27">
        <f t="shared" si="12"/>
        <v>9.6129599999999993</v>
      </c>
      <c r="P17" s="27">
        <f t="shared" si="12"/>
        <v>10.3019</v>
      </c>
      <c r="Q17" s="27">
        <f t="shared" si="12"/>
        <v>11.654524000000002</v>
      </c>
      <c r="R17" s="27">
        <f t="shared" si="12"/>
        <v>12.458515999999999</v>
      </c>
      <c r="S17" s="27">
        <f t="shared" si="12"/>
        <v>13.287203999999997</v>
      </c>
      <c r="T17" s="27">
        <f t="shared" si="12"/>
        <v>15.078616</v>
      </c>
      <c r="U17" s="27">
        <f t="shared" si="12"/>
        <v>15.371272000000001</v>
      </c>
      <c r="V17" s="27">
        <f t="shared" si="12"/>
        <v>15.668296000000002</v>
      </c>
      <c r="W17" s="27">
        <f t="shared" si="12"/>
        <v>16.580200000000001</v>
      </c>
      <c r="X17" s="27">
        <f t="shared" si="12"/>
        <v>16.902256000000001</v>
      </c>
      <c r="Y17" s="27">
        <f t="shared" si="12"/>
        <v>17.230360000000001</v>
      </c>
      <c r="Z17" s="27">
        <f t="shared" si="12"/>
        <v>21.147767999999999</v>
      </c>
      <c r="AA17" s="27">
        <f t="shared" si="12"/>
        <v>21.147767999999999</v>
      </c>
      <c r="AB17" s="27">
        <f t="shared" si="12"/>
        <v>21.147767999999999</v>
      </c>
      <c r="AC17" s="27">
        <f t="shared" si="12"/>
        <v>21.515091999999996</v>
      </c>
      <c r="AD17" s="27">
        <f t="shared" si="12"/>
        <v>21.515091999999996</v>
      </c>
      <c r="AE17" s="27">
        <f t="shared" si="12"/>
        <v>21.515091999999996</v>
      </c>
      <c r="AF17" s="27">
        <f t="shared" si="12"/>
        <v>22.2749059</v>
      </c>
      <c r="AG17" s="27">
        <f t="shared" si="12"/>
        <v>22.2749059</v>
      </c>
      <c r="AH17" s="27">
        <f t="shared" si="12"/>
        <v>22.2749059</v>
      </c>
      <c r="AI17" s="27">
        <f t="shared" si="12"/>
        <v>22.556581719999997</v>
      </c>
      <c r="AJ17" s="27">
        <f t="shared" si="12"/>
        <v>22.556581719999997</v>
      </c>
      <c r="AK17" s="27">
        <f t="shared" si="12"/>
        <v>22.556581719999997</v>
      </c>
      <c r="AL17" s="27">
        <f t="shared" si="12"/>
        <v>46.32485203200001</v>
      </c>
      <c r="AM17" s="27">
        <f t="shared" si="12"/>
        <v>163.11674400000004</v>
      </c>
      <c r="AN17" s="27">
        <f t="shared" si="12"/>
        <v>262.48304286000001</v>
      </c>
      <c r="AO17" s="27"/>
      <c r="AP17" s="27"/>
      <c r="AQ17" s="27"/>
    </row>
    <row r="18" spans="1:43">
      <c r="A18" s="22" t="s">
        <v>168</v>
      </c>
      <c r="B18" s="29">
        <v>3.6349999999999998</v>
      </c>
      <c r="C18" s="29">
        <v>3.6349999999999998</v>
      </c>
      <c r="D18" s="29">
        <v>3.6349999999999998</v>
      </c>
      <c r="E18" s="29">
        <v>3.6349999999999998</v>
      </c>
      <c r="F18" s="29">
        <v>3.6349999999999998</v>
      </c>
      <c r="G18" s="29">
        <v>3.6349999999999998</v>
      </c>
      <c r="H18" s="29">
        <v>3.6349999999999998</v>
      </c>
      <c r="I18" s="29">
        <v>3.6349999999999998</v>
      </c>
      <c r="J18" s="29">
        <v>3.6349999999999998</v>
      </c>
      <c r="K18" s="29">
        <v>3.6349999999999998</v>
      </c>
      <c r="L18" s="29">
        <v>3.6349999999999998</v>
      </c>
      <c r="M18" s="29">
        <v>3.6349999999999998</v>
      </c>
      <c r="N18" s="29">
        <v>3.6349999999999998</v>
      </c>
      <c r="O18" s="29">
        <v>3.6349999999999998</v>
      </c>
      <c r="P18" s="29">
        <v>3.6349999999999998</v>
      </c>
      <c r="Q18" s="29">
        <v>3.6349999999999998</v>
      </c>
      <c r="R18" s="29">
        <v>3.6349999999999998</v>
      </c>
      <c r="S18" s="29">
        <v>3.6349999999999998</v>
      </c>
      <c r="T18" s="29">
        <v>3.6349999999999998</v>
      </c>
      <c r="U18" s="29">
        <v>3.6349999999999998</v>
      </c>
      <c r="V18" s="29">
        <v>3.6349999999999998</v>
      </c>
      <c r="W18" s="29">
        <v>3.6349999999999998</v>
      </c>
      <c r="X18" s="29">
        <v>3.6349999999999998</v>
      </c>
      <c r="Y18" s="29">
        <v>3.6349999999999998</v>
      </c>
      <c r="Z18" s="29">
        <v>3.6349999999999998</v>
      </c>
      <c r="AA18" s="29">
        <v>3.6349999999999998</v>
      </c>
      <c r="AB18" s="29">
        <v>3.6349999999999998</v>
      </c>
      <c r="AC18" s="29">
        <v>3.6349999999999998</v>
      </c>
      <c r="AD18" s="29">
        <v>3.6349999999999998</v>
      </c>
      <c r="AE18" s="29">
        <v>3.6349999999999998</v>
      </c>
      <c r="AF18" s="29">
        <v>3.6349999999999998</v>
      </c>
      <c r="AG18" s="29">
        <v>3.6349999999999998</v>
      </c>
      <c r="AH18" s="29">
        <v>3.6349999999999998</v>
      </c>
      <c r="AI18" s="29">
        <v>3.6349999999999998</v>
      </c>
      <c r="AJ18" s="29">
        <v>3.6349999999999998</v>
      </c>
      <c r="AK18" s="29">
        <v>3.6349999999999998</v>
      </c>
      <c r="AL18" s="29">
        <v>3.6349999999999998</v>
      </c>
      <c r="AM18" s="29">
        <v>3.6349999999999998</v>
      </c>
      <c r="AN18" s="29">
        <v>3.6349999999999998</v>
      </c>
      <c r="AO18" s="29"/>
      <c r="AP18" s="29"/>
      <c r="AQ18" s="29"/>
    </row>
    <row r="19" spans="1:43">
      <c r="A19" t="s">
        <v>169</v>
      </c>
      <c r="B19" s="27">
        <f t="shared" ref="B19:AN19" si="13">B17/B18</f>
        <v>0.2932826938101788</v>
      </c>
      <c r="C19" s="27">
        <f t="shared" si="13"/>
        <v>0.24717526272352133</v>
      </c>
      <c r="D19" s="27">
        <f t="shared" si="13"/>
        <v>0.31042733425034391</v>
      </c>
      <c r="E19" s="27">
        <f t="shared" si="13"/>
        <v>0.91843026134800554</v>
      </c>
      <c r="F19" s="27">
        <f t="shared" si="13"/>
        <v>0.99166822558459422</v>
      </c>
      <c r="G19" s="27">
        <f t="shared" si="13"/>
        <v>1.0954640990371389</v>
      </c>
      <c r="H19" s="27">
        <f t="shared" si="13"/>
        <v>1.225990426409904</v>
      </c>
      <c r="I19" s="27">
        <f t="shared" si="13"/>
        <v>1.2737494360385144</v>
      </c>
      <c r="J19" s="27">
        <f t="shared" si="13"/>
        <v>1.3514546354883084</v>
      </c>
      <c r="K19" s="27">
        <f t="shared" si="13"/>
        <v>1.6145370013755154</v>
      </c>
      <c r="L19" s="27">
        <f t="shared" si="13"/>
        <v>1.6780099037138927</v>
      </c>
      <c r="M19" s="27">
        <f t="shared" si="13"/>
        <v>1.7439240715268227</v>
      </c>
      <c r="N19" s="27">
        <f t="shared" si="13"/>
        <v>2.4678514442916097</v>
      </c>
      <c r="O19" s="27">
        <f t="shared" si="13"/>
        <v>2.6445557083906466</v>
      </c>
      <c r="P19" s="27">
        <f t="shared" si="13"/>
        <v>2.8340852819807427</v>
      </c>
      <c r="Q19" s="27">
        <f t="shared" si="13"/>
        <v>3.2061964236588727</v>
      </c>
      <c r="R19" s="27">
        <f t="shared" si="13"/>
        <v>3.427377166437414</v>
      </c>
      <c r="S19" s="27">
        <f t="shared" si="13"/>
        <v>3.6553518569463543</v>
      </c>
      <c r="T19" s="27">
        <f t="shared" si="13"/>
        <v>4.148174965612105</v>
      </c>
      <c r="U19" s="27">
        <f t="shared" si="13"/>
        <v>4.2286855570839066</v>
      </c>
      <c r="V19" s="27">
        <f t="shared" si="13"/>
        <v>4.3103977991746909</v>
      </c>
      <c r="W19" s="27">
        <f t="shared" si="13"/>
        <v>4.5612654745529584</v>
      </c>
      <c r="X19" s="27">
        <f t="shared" si="13"/>
        <v>4.6498640990371394</v>
      </c>
      <c r="Y19" s="27">
        <f t="shared" si="13"/>
        <v>4.7401265474552963</v>
      </c>
      <c r="Z19" s="27">
        <f t="shared" si="13"/>
        <v>5.8178178817056398</v>
      </c>
      <c r="AA19" s="27">
        <f t="shared" si="13"/>
        <v>5.8178178817056398</v>
      </c>
      <c r="AB19" s="27">
        <f t="shared" si="13"/>
        <v>5.8178178817056398</v>
      </c>
      <c r="AC19" s="27">
        <f t="shared" si="13"/>
        <v>5.9188698762035754</v>
      </c>
      <c r="AD19" s="27">
        <f t="shared" si="13"/>
        <v>5.9188698762035754</v>
      </c>
      <c r="AE19" s="27">
        <f t="shared" si="13"/>
        <v>5.9188698762035754</v>
      </c>
      <c r="AF19" s="27">
        <f t="shared" si="13"/>
        <v>6.1278970839064657</v>
      </c>
      <c r="AG19" s="27">
        <f t="shared" si="13"/>
        <v>6.1278970839064657</v>
      </c>
      <c r="AH19" s="27">
        <f t="shared" si="13"/>
        <v>6.1278970839064657</v>
      </c>
      <c r="AI19" s="27">
        <f t="shared" si="13"/>
        <v>6.2053869931224206</v>
      </c>
      <c r="AJ19" s="27">
        <f t="shared" si="13"/>
        <v>6.2053869931224206</v>
      </c>
      <c r="AK19" s="27">
        <f t="shared" si="13"/>
        <v>6.2053869931224206</v>
      </c>
      <c r="AL19" s="27">
        <f t="shared" si="13"/>
        <v>12.744113351306744</v>
      </c>
      <c r="AM19" s="27">
        <f t="shared" si="13"/>
        <v>44.873932324621748</v>
      </c>
      <c r="AN19" s="27">
        <f t="shared" si="13"/>
        <v>72.209915504814319</v>
      </c>
      <c r="AO19" s="27">
        <v>9.5399999999999991</v>
      </c>
      <c r="AP19" s="27">
        <v>17.14</v>
      </c>
      <c r="AQ19" s="27">
        <v>14.8</v>
      </c>
    </row>
    <row r="20" spans="1:43">
      <c r="A20" t="s">
        <v>170</v>
      </c>
      <c r="B20" s="27">
        <f>SUM(B19:D19)</f>
        <v>0.85088529078404407</v>
      </c>
      <c r="C20" s="27"/>
      <c r="D20" s="27"/>
      <c r="E20" s="27">
        <f>SUM(E19:G19)</f>
        <v>3.0055625859697388</v>
      </c>
      <c r="F20" s="27"/>
      <c r="G20" s="27"/>
      <c r="H20" s="27">
        <f>SUM(H19:J19)</f>
        <v>3.851194497936727</v>
      </c>
      <c r="I20" s="27"/>
      <c r="J20" s="27"/>
      <c r="K20" s="27">
        <f>SUM(K19:M19)</f>
        <v>5.036470976616231</v>
      </c>
      <c r="L20" s="27"/>
      <c r="M20" s="27"/>
      <c r="N20" s="27">
        <f>SUM(N19:P19)</f>
        <v>7.946492434662999</v>
      </c>
      <c r="O20" s="27"/>
      <c r="P20" s="27"/>
      <c r="Q20" s="27">
        <f>SUM(Q19:S19)</f>
        <v>10.28892544704264</v>
      </c>
      <c r="R20" s="27"/>
      <c r="S20" s="27"/>
      <c r="T20" s="27">
        <f>SUM(T19:V19)</f>
        <v>12.687258321870702</v>
      </c>
      <c r="U20" s="27"/>
      <c r="V20" s="27"/>
      <c r="W20" s="27">
        <f>SUM(W19:Y19)</f>
        <v>13.951256121045393</v>
      </c>
      <c r="X20" s="27"/>
      <c r="Y20" s="27"/>
      <c r="Z20" s="27">
        <f>SUM(Z19:AB19)</f>
        <v>17.45345364511692</v>
      </c>
      <c r="AA20" s="27"/>
      <c r="AB20" s="27"/>
      <c r="AC20" s="27">
        <f>SUM(AC19:AE19)</f>
        <v>17.756609628610725</v>
      </c>
      <c r="AD20" s="27"/>
      <c r="AE20" s="27"/>
      <c r="AF20" s="27">
        <f>SUM(AF19:AH19)</f>
        <v>18.383691251719398</v>
      </c>
      <c r="AG20" s="27"/>
      <c r="AH20" s="27"/>
      <c r="AI20" s="27">
        <f>SUM(AI19:AK19)</f>
        <v>18.616160979367262</v>
      </c>
      <c r="AJ20" s="27"/>
      <c r="AK20" s="27"/>
      <c r="AL20" s="27"/>
      <c r="AM20" s="27"/>
      <c r="AN20" s="27"/>
      <c r="AO20" s="27"/>
      <c r="AP20" s="27"/>
      <c r="AQ20" s="27"/>
    </row>
    <row r="26" spans="1:43">
      <c r="A26" s="22" t="s">
        <v>171</v>
      </c>
      <c r="B26" s="27">
        <f>B20+E20+H20+K20</f>
        <v>12.744113351306741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>
        <f>N20+Q20+T20+W20</f>
        <v>44.873932324621734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>
        <f>Z20+AC20+AF20+AI20</f>
        <v>72.209915504814305</v>
      </c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</row>
    <row r="28" spans="1:43">
      <c r="A28" t="s">
        <v>172</v>
      </c>
      <c r="B28" s="22" t="s">
        <v>173</v>
      </c>
    </row>
    <row r="29" spans="1:43">
      <c r="B29" s="22" t="s">
        <v>174</v>
      </c>
    </row>
    <row r="30" spans="1:43">
      <c r="B30" s="22" t="s">
        <v>175</v>
      </c>
    </row>
    <row r="31" spans="1:43">
      <c r="B31" s="22" t="s">
        <v>176</v>
      </c>
    </row>
    <row r="32" spans="1:43">
      <c r="B32" s="22" t="s">
        <v>177</v>
      </c>
    </row>
    <row r="33" spans="2:2">
      <c r="B33" s="22" t="s">
        <v>178</v>
      </c>
    </row>
    <row r="34" spans="2:2" ht="409.6">
      <c r="B34" s="30" t="s">
        <v>179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1" width="22" customWidth="1"/>
    <col min="2" max="43" width="9" customWidth="1"/>
  </cols>
  <sheetData>
    <row r="1" spans="1:43">
      <c r="A1" s="22" t="s">
        <v>109</v>
      </c>
      <c r="B1" s="23" t="s">
        <v>110</v>
      </c>
      <c r="C1" s="23" t="s">
        <v>111</v>
      </c>
      <c r="D1" s="23" t="s">
        <v>112</v>
      </c>
      <c r="E1" s="23" t="s">
        <v>113</v>
      </c>
      <c r="F1" s="23" t="s">
        <v>114</v>
      </c>
      <c r="G1" s="23" t="s">
        <v>115</v>
      </c>
      <c r="H1" s="23" t="s">
        <v>116</v>
      </c>
      <c r="I1" s="23" t="s">
        <v>117</v>
      </c>
      <c r="J1" s="23" t="s">
        <v>118</v>
      </c>
      <c r="K1" s="23" t="s">
        <v>119</v>
      </c>
      <c r="L1" s="23" t="s">
        <v>120</v>
      </c>
      <c r="M1" s="23" t="s">
        <v>121</v>
      </c>
      <c r="N1" s="23" t="s">
        <v>122</v>
      </c>
      <c r="O1" s="23" t="s">
        <v>123</v>
      </c>
      <c r="P1" s="23" t="s">
        <v>124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131</v>
      </c>
      <c r="X1" s="23" t="s">
        <v>132</v>
      </c>
      <c r="Y1" s="23" t="s">
        <v>133</v>
      </c>
      <c r="Z1" s="23" t="s">
        <v>134</v>
      </c>
      <c r="AA1" s="23" t="s">
        <v>135</v>
      </c>
      <c r="AB1" s="23" t="s">
        <v>136</v>
      </c>
      <c r="AC1" s="23" t="s">
        <v>137</v>
      </c>
      <c r="AD1" s="23" t="s">
        <v>138</v>
      </c>
      <c r="AE1" s="23" t="s">
        <v>139</v>
      </c>
      <c r="AF1" s="23" t="s">
        <v>140</v>
      </c>
      <c r="AG1" s="23" t="s">
        <v>141</v>
      </c>
      <c r="AH1" s="23" t="s">
        <v>142</v>
      </c>
      <c r="AI1" s="23" t="s">
        <v>143</v>
      </c>
      <c r="AJ1" s="23" t="s">
        <v>144</v>
      </c>
      <c r="AK1" s="23" t="s">
        <v>145</v>
      </c>
      <c r="AL1" s="23" t="s">
        <v>146</v>
      </c>
      <c r="AM1" s="23" t="s">
        <v>147</v>
      </c>
      <c r="AN1" s="23" t="s">
        <v>148</v>
      </c>
      <c r="AO1" s="24" t="s">
        <v>149</v>
      </c>
      <c r="AP1" s="24" t="s">
        <v>150</v>
      </c>
      <c r="AQ1" s="24" t="s">
        <v>151</v>
      </c>
    </row>
    <row r="2" spans="1:43">
      <c r="A2" s="22" t="s">
        <v>152</v>
      </c>
      <c r="B2" s="25">
        <v>33.5</v>
      </c>
      <c r="C2" s="25">
        <v>29.24</v>
      </c>
      <c r="D2" s="25">
        <v>37.799999999999997</v>
      </c>
      <c r="E2" s="25">
        <v>46.1</v>
      </c>
      <c r="F2" s="25">
        <v>47.94</v>
      </c>
      <c r="G2" s="25">
        <v>48.95</v>
      </c>
      <c r="H2" s="26">
        <v>54.98</v>
      </c>
      <c r="I2" s="26">
        <v>61.04</v>
      </c>
      <c r="J2" s="26">
        <v>67.19</v>
      </c>
      <c r="K2" s="26">
        <v>69.88</v>
      </c>
      <c r="L2" s="26">
        <v>73.680000000000007</v>
      </c>
      <c r="M2" s="26">
        <v>77.319999999999993</v>
      </c>
      <c r="N2" s="26">
        <v>83.51</v>
      </c>
      <c r="O2" s="26">
        <v>89.4</v>
      </c>
      <c r="P2" s="26">
        <v>95.59</v>
      </c>
      <c r="Q2" s="26">
        <v>102.09</v>
      </c>
      <c r="R2" s="26">
        <v>108.9</v>
      </c>
      <c r="S2" s="26">
        <v>116.05</v>
      </c>
      <c r="T2" s="26">
        <v>122.03</v>
      </c>
      <c r="U2" s="26">
        <v>128.19999999999999</v>
      </c>
      <c r="V2" s="26">
        <v>134.57</v>
      </c>
      <c r="W2" s="26">
        <v>141.13999999999999</v>
      </c>
      <c r="X2" s="26">
        <v>145.91</v>
      </c>
      <c r="Y2" s="26">
        <v>150.81</v>
      </c>
      <c r="Z2" s="26">
        <v>155.83000000000001</v>
      </c>
      <c r="AA2" s="26">
        <v>158.46</v>
      </c>
      <c r="AB2" s="26">
        <v>161.1</v>
      </c>
      <c r="AC2" s="26">
        <v>163.72999999999999</v>
      </c>
      <c r="AD2" s="26">
        <v>166.36</v>
      </c>
      <c r="AE2" s="26">
        <v>169</v>
      </c>
      <c r="AF2" s="26">
        <v>171.63</v>
      </c>
      <c r="AG2" s="26">
        <v>173.21</v>
      </c>
      <c r="AH2" s="26">
        <v>174.27</v>
      </c>
      <c r="AI2" s="26">
        <v>176.37</v>
      </c>
      <c r="AJ2" s="26">
        <v>177.95</v>
      </c>
      <c r="AK2" s="26">
        <v>179.53</v>
      </c>
      <c r="AL2" s="27">
        <f>SUM(B2:M2)</f>
        <v>647.61999999999989</v>
      </c>
      <c r="AM2" s="27">
        <f>SUM(N2:Y2)</f>
        <v>1418.2</v>
      </c>
      <c r="AN2" s="27">
        <f>SUM(Z2:AK2)</f>
        <v>2027.44</v>
      </c>
      <c r="AO2" s="27"/>
      <c r="AP2" s="27"/>
      <c r="AQ2" s="27"/>
    </row>
    <row r="3" spans="1:43">
      <c r="A3" s="22" t="s">
        <v>153</v>
      </c>
      <c r="B3" s="28">
        <v>0.2515</v>
      </c>
      <c r="C3" s="28">
        <v>0.2515</v>
      </c>
      <c r="D3" s="28">
        <v>0.2515</v>
      </c>
      <c r="E3" s="28">
        <v>0.26500000000000001</v>
      </c>
      <c r="F3" s="28">
        <v>0.26500000000000001</v>
      </c>
      <c r="G3" s="28">
        <v>0.26500000000000001</v>
      </c>
      <c r="H3" s="28">
        <v>0.28000000000000003</v>
      </c>
      <c r="I3" s="28">
        <v>0.28000000000000003</v>
      </c>
      <c r="J3" s="28">
        <v>0.28000000000000003</v>
      </c>
      <c r="K3" s="28">
        <v>0.28999999999999998</v>
      </c>
      <c r="L3" s="28">
        <v>0.28999999999999998</v>
      </c>
      <c r="M3" s="28">
        <v>0.28999999999999998</v>
      </c>
      <c r="N3" s="28">
        <v>0.315</v>
      </c>
      <c r="O3" s="28">
        <v>0.315</v>
      </c>
      <c r="P3" s="28">
        <v>0.315</v>
      </c>
      <c r="Q3" s="28">
        <v>0.32</v>
      </c>
      <c r="R3" s="28">
        <v>0.32</v>
      </c>
      <c r="S3" s="28">
        <v>0.32</v>
      </c>
      <c r="T3" s="28">
        <v>0.32500000000000001</v>
      </c>
      <c r="U3" s="28">
        <v>0.32500000000000001</v>
      </c>
      <c r="V3" s="28">
        <v>0.32500000000000001</v>
      </c>
      <c r="W3" s="28">
        <v>0.33</v>
      </c>
      <c r="X3" s="28">
        <v>0.33</v>
      </c>
      <c r="Y3" s="28">
        <v>0.33</v>
      </c>
      <c r="Z3" s="28">
        <v>0.34</v>
      </c>
      <c r="AA3" s="28">
        <v>0.34</v>
      </c>
      <c r="AB3" s="28">
        <v>0.34</v>
      </c>
      <c r="AC3" s="28">
        <v>0.34300000000000003</v>
      </c>
      <c r="AD3" s="28">
        <v>0.34300000000000003</v>
      </c>
      <c r="AE3" s="28">
        <v>0.34300000000000003</v>
      </c>
      <c r="AF3" s="28">
        <v>0.34599999999999997</v>
      </c>
      <c r="AG3" s="28">
        <v>0.34599999999999997</v>
      </c>
      <c r="AH3" s="28">
        <v>0.34599999999999997</v>
      </c>
      <c r="AI3" s="28">
        <v>0.34899999999999998</v>
      </c>
      <c r="AJ3" s="28">
        <v>0.34899999999999998</v>
      </c>
      <c r="AK3" s="28">
        <v>0.34899999999999998</v>
      </c>
      <c r="AL3" s="28">
        <f>AL4/AL2</f>
        <v>0.27567425342021562</v>
      </c>
      <c r="AM3" s="28">
        <f>AM4/AM2</f>
        <v>0.32349746157100545</v>
      </c>
      <c r="AN3" s="28">
        <f>AN4/AN2</f>
        <v>0.34464456654697551</v>
      </c>
      <c r="AO3" s="28"/>
      <c r="AP3" s="28"/>
      <c r="AQ3" s="28"/>
    </row>
    <row r="4" spans="1:43">
      <c r="A4" s="22" t="s">
        <v>154</v>
      </c>
      <c r="B4" s="27">
        <f t="shared" ref="B4:AK4" si="0">B2*B3</f>
        <v>8.4252500000000001</v>
      </c>
      <c r="C4" s="27">
        <f t="shared" si="0"/>
        <v>7.3538600000000001</v>
      </c>
      <c r="D4" s="27">
        <f t="shared" si="0"/>
        <v>9.5066999999999986</v>
      </c>
      <c r="E4" s="27">
        <f t="shared" si="0"/>
        <v>12.216500000000002</v>
      </c>
      <c r="F4" s="27">
        <f t="shared" si="0"/>
        <v>12.7041</v>
      </c>
      <c r="G4" s="27">
        <f t="shared" si="0"/>
        <v>12.971750000000002</v>
      </c>
      <c r="H4" s="27">
        <f t="shared" si="0"/>
        <v>15.394400000000001</v>
      </c>
      <c r="I4" s="27">
        <f t="shared" si="0"/>
        <v>17.091200000000001</v>
      </c>
      <c r="J4" s="27">
        <f t="shared" si="0"/>
        <v>18.813200000000002</v>
      </c>
      <c r="K4" s="27">
        <f t="shared" si="0"/>
        <v>20.265199999999997</v>
      </c>
      <c r="L4" s="27">
        <f t="shared" si="0"/>
        <v>21.3672</v>
      </c>
      <c r="M4" s="27">
        <f t="shared" si="0"/>
        <v>22.422799999999995</v>
      </c>
      <c r="N4" s="27">
        <f t="shared" si="0"/>
        <v>26.305650000000004</v>
      </c>
      <c r="O4" s="27">
        <f t="shared" si="0"/>
        <v>28.161000000000001</v>
      </c>
      <c r="P4" s="27">
        <f t="shared" si="0"/>
        <v>30.110850000000003</v>
      </c>
      <c r="Q4" s="27">
        <f t="shared" si="0"/>
        <v>32.668800000000005</v>
      </c>
      <c r="R4" s="27">
        <f t="shared" si="0"/>
        <v>34.848000000000006</v>
      </c>
      <c r="S4" s="27">
        <f t="shared" si="0"/>
        <v>37.136000000000003</v>
      </c>
      <c r="T4" s="27">
        <f t="shared" si="0"/>
        <v>39.659750000000003</v>
      </c>
      <c r="U4" s="27">
        <f t="shared" si="0"/>
        <v>41.664999999999999</v>
      </c>
      <c r="V4" s="27">
        <f t="shared" si="0"/>
        <v>43.735250000000001</v>
      </c>
      <c r="W4" s="27">
        <f t="shared" si="0"/>
        <v>46.5762</v>
      </c>
      <c r="X4" s="27">
        <f t="shared" si="0"/>
        <v>48.150300000000001</v>
      </c>
      <c r="Y4" s="27">
        <f t="shared" si="0"/>
        <v>49.767300000000006</v>
      </c>
      <c r="Z4" s="27">
        <f t="shared" si="0"/>
        <v>52.982200000000006</v>
      </c>
      <c r="AA4" s="27">
        <f t="shared" si="0"/>
        <v>53.876400000000004</v>
      </c>
      <c r="AB4" s="27">
        <f t="shared" si="0"/>
        <v>54.774000000000001</v>
      </c>
      <c r="AC4" s="27">
        <f t="shared" si="0"/>
        <v>56.159390000000002</v>
      </c>
      <c r="AD4" s="27">
        <f t="shared" si="0"/>
        <v>57.06148000000001</v>
      </c>
      <c r="AE4" s="27">
        <f t="shared" si="0"/>
        <v>57.967000000000006</v>
      </c>
      <c r="AF4" s="27">
        <f t="shared" si="0"/>
        <v>59.383979999999994</v>
      </c>
      <c r="AG4" s="27">
        <f t="shared" si="0"/>
        <v>59.930659999999996</v>
      </c>
      <c r="AH4" s="27">
        <f t="shared" si="0"/>
        <v>60.297420000000002</v>
      </c>
      <c r="AI4" s="27">
        <f t="shared" si="0"/>
        <v>61.553129999999996</v>
      </c>
      <c r="AJ4" s="27">
        <f t="shared" si="0"/>
        <v>62.104549999999989</v>
      </c>
      <c r="AK4" s="27">
        <f t="shared" si="0"/>
        <v>62.655969999999996</v>
      </c>
      <c r="AL4" s="27">
        <f>SUM(B4:M4)</f>
        <v>178.53216</v>
      </c>
      <c r="AM4" s="27">
        <f>SUM(N4:Y4)</f>
        <v>458.78409999999997</v>
      </c>
      <c r="AN4" s="27">
        <f>SUM(Z4:AK4)</f>
        <v>698.74618000000009</v>
      </c>
      <c r="AO4" s="27"/>
      <c r="AP4" s="27"/>
      <c r="AQ4" s="27"/>
    </row>
    <row r="5" spans="1:43">
      <c r="A5" s="22" t="s">
        <v>155</v>
      </c>
      <c r="B5" s="28">
        <v>6.9699999999999998E-2</v>
      </c>
      <c r="C5" s="28">
        <v>6.9699999999999998E-2</v>
      </c>
      <c r="D5" s="28">
        <v>6.9699999999999998E-2</v>
      </c>
      <c r="E5" s="28">
        <v>6.9699999999999998E-2</v>
      </c>
      <c r="F5" s="28">
        <v>6.9699999999999998E-2</v>
      </c>
      <c r="G5" s="28">
        <v>6.9699999999999998E-2</v>
      </c>
      <c r="H5" s="28">
        <v>6.9699999999999998E-2</v>
      </c>
      <c r="I5" s="28">
        <v>6.9699999999999998E-2</v>
      </c>
      <c r="J5" s="28">
        <v>6.9699999999999998E-2</v>
      </c>
      <c r="K5" s="28">
        <v>6.9699999999999998E-2</v>
      </c>
      <c r="L5" s="28">
        <v>6.9699999999999998E-2</v>
      </c>
      <c r="M5" s="28">
        <v>6.9699999999999998E-2</v>
      </c>
      <c r="N5" s="28">
        <v>6.9699999999999998E-2</v>
      </c>
      <c r="O5" s="28">
        <v>6.9699999999999998E-2</v>
      </c>
      <c r="P5" s="28">
        <v>6.9699999999999998E-2</v>
      </c>
      <c r="Q5" s="28">
        <v>6.9699999999999998E-2</v>
      </c>
      <c r="R5" s="28">
        <v>6.9699999999999998E-2</v>
      </c>
      <c r="S5" s="28">
        <v>6.9699999999999998E-2</v>
      </c>
      <c r="T5" s="28">
        <v>6.9699999999999998E-2</v>
      </c>
      <c r="U5" s="28">
        <v>6.9699999999999998E-2</v>
      </c>
      <c r="V5" s="28">
        <v>6.9699999999999998E-2</v>
      </c>
      <c r="W5" s="28">
        <v>6.9699999999999998E-2</v>
      </c>
      <c r="X5" s="28">
        <v>6.9699999999999998E-2</v>
      </c>
      <c r="Y5" s="28">
        <v>6.9699999999999998E-2</v>
      </c>
      <c r="Z5" s="28">
        <v>6.9699999999999998E-2</v>
      </c>
      <c r="AA5" s="28">
        <v>6.9699999999999998E-2</v>
      </c>
      <c r="AB5" s="28">
        <v>6.9699999999999998E-2</v>
      </c>
      <c r="AC5" s="28">
        <v>6.9699999999999998E-2</v>
      </c>
      <c r="AD5" s="28">
        <v>6.9699999999999998E-2</v>
      </c>
      <c r="AE5" s="28">
        <v>6.9699999999999998E-2</v>
      </c>
      <c r="AF5" s="28">
        <v>6.9699999999999998E-2</v>
      </c>
      <c r="AG5" s="28">
        <v>6.9699999999999998E-2</v>
      </c>
      <c r="AH5" s="28">
        <v>6.9699999999999998E-2</v>
      </c>
      <c r="AI5" s="28">
        <v>6.9699999999999998E-2</v>
      </c>
      <c r="AJ5" s="28">
        <v>6.9699999999999998E-2</v>
      </c>
      <c r="AK5" s="28">
        <v>6.9699999999999998E-2</v>
      </c>
      <c r="AL5" s="28">
        <f>AL6/AL2</f>
        <v>6.9700000000000012E-2</v>
      </c>
      <c r="AM5" s="28">
        <f>AM6/AM2</f>
        <v>6.9700000000000012E-2</v>
      </c>
      <c r="AN5" s="28">
        <f>AN6/AN2</f>
        <v>6.9699999999999998E-2</v>
      </c>
      <c r="AO5" s="28"/>
      <c r="AP5" s="28"/>
      <c r="AQ5" s="28"/>
    </row>
    <row r="6" spans="1:43">
      <c r="A6" s="22" t="s">
        <v>156</v>
      </c>
      <c r="B6" s="27">
        <f t="shared" ref="B6:AK6" si="1">B2*B5</f>
        <v>2.3349500000000001</v>
      </c>
      <c r="C6" s="27">
        <f t="shared" si="1"/>
        <v>2.0380279999999997</v>
      </c>
      <c r="D6" s="27">
        <f t="shared" si="1"/>
        <v>2.6346599999999998</v>
      </c>
      <c r="E6" s="27">
        <f t="shared" si="1"/>
        <v>3.2131699999999999</v>
      </c>
      <c r="F6" s="27">
        <f t="shared" si="1"/>
        <v>3.3414179999999996</v>
      </c>
      <c r="G6" s="27">
        <f t="shared" si="1"/>
        <v>3.4118150000000003</v>
      </c>
      <c r="H6" s="27">
        <f t="shared" si="1"/>
        <v>3.8321059999999996</v>
      </c>
      <c r="I6" s="27">
        <f t="shared" si="1"/>
        <v>4.2544879999999994</v>
      </c>
      <c r="J6" s="27">
        <f t="shared" si="1"/>
        <v>4.6831429999999994</v>
      </c>
      <c r="K6" s="27">
        <f t="shared" si="1"/>
        <v>4.8706359999999993</v>
      </c>
      <c r="L6" s="27">
        <f t="shared" si="1"/>
        <v>5.1354960000000007</v>
      </c>
      <c r="M6" s="27">
        <f t="shared" si="1"/>
        <v>5.3892039999999994</v>
      </c>
      <c r="N6" s="27">
        <f t="shared" si="1"/>
        <v>5.8206470000000001</v>
      </c>
      <c r="O6" s="27">
        <f t="shared" si="1"/>
        <v>6.2311800000000002</v>
      </c>
      <c r="P6" s="27">
        <f t="shared" si="1"/>
        <v>6.662623</v>
      </c>
      <c r="Q6" s="27">
        <f t="shared" si="1"/>
        <v>7.1156730000000001</v>
      </c>
      <c r="R6" s="27">
        <f t="shared" si="1"/>
        <v>7.5903299999999998</v>
      </c>
      <c r="S6" s="27">
        <f t="shared" si="1"/>
        <v>8.0886849999999999</v>
      </c>
      <c r="T6" s="27">
        <f t="shared" si="1"/>
        <v>8.5054909999999992</v>
      </c>
      <c r="U6" s="27">
        <f t="shared" si="1"/>
        <v>8.9355399999999996</v>
      </c>
      <c r="V6" s="27">
        <f t="shared" si="1"/>
        <v>9.3795289999999998</v>
      </c>
      <c r="W6" s="27">
        <f t="shared" si="1"/>
        <v>9.837457999999998</v>
      </c>
      <c r="X6" s="27">
        <f t="shared" si="1"/>
        <v>10.169926999999999</v>
      </c>
      <c r="Y6" s="27">
        <f t="shared" si="1"/>
        <v>10.511457</v>
      </c>
      <c r="Z6" s="27">
        <f t="shared" si="1"/>
        <v>10.861351000000001</v>
      </c>
      <c r="AA6" s="27">
        <f t="shared" si="1"/>
        <v>11.044662000000001</v>
      </c>
      <c r="AB6" s="27">
        <f t="shared" si="1"/>
        <v>11.228669999999999</v>
      </c>
      <c r="AC6" s="27">
        <f t="shared" si="1"/>
        <v>11.411980999999999</v>
      </c>
      <c r="AD6" s="27">
        <f t="shared" si="1"/>
        <v>11.595292000000001</v>
      </c>
      <c r="AE6" s="27">
        <f t="shared" si="1"/>
        <v>11.779299999999999</v>
      </c>
      <c r="AF6" s="27">
        <f t="shared" si="1"/>
        <v>11.962610999999999</v>
      </c>
      <c r="AG6" s="27">
        <f t="shared" si="1"/>
        <v>12.072737</v>
      </c>
      <c r="AH6" s="27">
        <f t="shared" si="1"/>
        <v>12.146619000000001</v>
      </c>
      <c r="AI6" s="27">
        <f t="shared" si="1"/>
        <v>12.292989</v>
      </c>
      <c r="AJ6" s="27">
        <f t="shared" si="1"/>
        <v>12.403115</v>
      </c>
      <c r="AK6" s="27">
        <f t="shared" si="1"/>
        <v>12.513240999999999</v>
      </c>
      <c r="AL6" s="27">
        <f>SUM(B6:M6)</f>
        <v>45.139113999999999</v>
      </c>
      <c r="AM6" s="27">
        <f>SUM(N6:Y6)</f>
        <v>98.848540000000014</v>
      </c>
      <c r="AN6" s="27">
        <f>SUM(Z6:AK6)</f>
        <v>141.312568</v>
      </c>
      <c r="AO6" s="27"/>
      <c r="AP6" s="27"/>
      <c r="AQ6" s="27"/>
    </row>
    <row r="7" spans="1:43">
      <c r="A7" s="22" t="s">
        <v>157</v>
      </c>
      <c r="B7" s="27">
        <f t="shared" ref="B7:AN7" si="2">B4-B6</f>
        <v>6.0903</v>
      </c>
      <c r="C7" s="27">
        <f t="shared" si="2"/>
        <v>5.3158320000000003</v>
      </c>
      <c r="D7" s="27">
        <f t="shared" si="2"/>
        <v>6.8720399999999984</v>
      </c>
      <c r="E7" s="27">
        <f t="shared" si="2"/>
        <v>9.0033300000000018</v>
      </c>
      <c r="F7" s="27">
        <f t="shared" si="2"/>
        <v>9.3626820000000013</v>
      </c>
      <c r="G7" s="27">
        <f t="shared" si="2"/>
        <v>9.5599350000000012</v>
      </c>
      <c r="H7" s="27">
        <f t="shared" si="2"/>
        <v>11.562294000000001</v>
      </c>
      <c r="I7" s="27">
        <f t="shared" si="2"/>
        <v>12.836712000000002</v>
      </c>
      <c r="J7" s="27">
        <f t="shared" si="2"/>
        <v>14.130057000000003</v>
      </c>
      <c r="K7" s="27">
        <f t="shared" si="2"/>
        <v>15.394563999999997</v>
      </c>
      <c r="L7" s="27">
        <f t="shared" si="2"/>
        <v>16.231704000000001</v>
      </c>
      <c r="M7" s="27">
        <f t="shared" si="2"/>
        <v>17.033595999999996</v>
      </c>
      <c r="N7" s="27">
        <f t="shared" si="2"/>
        <v>20.485003000000003</v>
      </c>
      <c r="O7" s="27">
        <f t="shared" si="2"/>
        <v>21.929819999999999</v>
      </c>
      <c r="P7" s="27">
        <f t="shared" si="2"/>
        <v>23.448227000000003</v>
      </c>
      <c r="Q7" s="27">
        <f t="shared" si="2"/>
        <v>25.553127000000003</v>
      </c>
      <c r="R7" s="27">
        <f t="shared" si="2"/>
        <v>27.257670000000005</v>
      </c>
      <c r="S7" s="27">
        <f t="shared" si="2"/>
        <v>29.047315000000005</v>
      </c>
      <c r="T7" s="27">
        <f t="shared" si="2"/>
        <v>31.154259000000003</v>
      </c>
      <c r="U7" s="27">
        <f t="shared" si="2"/>
        <v>32.729460000000003</v>
      </c>
      <c r="V7" s="27">
        <f t="shared" si="2"/>
        <v>34.355721000000003</v>
      </c>
      <c r="W7" s="27">
        <f t="shared" si="2"/>
        <v>36.738742000000002</v>
      </c>
      <c r="X7" s="27">
        <f t="shared" si="2"/>
        <v>37.980373</v>
      </c>
      <c r="Y7" s="27">
        <f t="shared" si="2"/>
        <v>39.255843000000006</v>
      </c>
      <c r="Z7" s="27">
        <f t="shared" si="2"/>
        <v>42.120849000000007</v>
      </c>
      <c r="AA7" s="27">
        <f t="shared" si="2"/>
        <v>42.831738000000001</v>
      </c>
      <c r="AB7" s="27">
        <f t="shared" si="2"/>
        <v>43.54533</v>
      </c>
      <c r="AC7" s="27">
        <f t="shared" si="2"/>
        <v>44.747409000000005</v>
      </c>
      <c r="AD7" s="27">
        <f t="shared" si="2"/>
        <v>45.46618800000001</v>
      </c>
      <c r="AE7" s="27">
        <f t="shared" si="2"/>
        <v>46.187700000000007</v>
      </c>
      <c r="AF7" s="27">
        <f t="shared" si="2"/>
        <v>47.421368999999999</v>
      </c>
      <c r="AG7" s="27">
        <f t="shared" si="2"/>
        <v>47.857923</v>
      </c>
      <c r="AH7" s="27">
        <f t="shared" si="2"/>
        <v>48.150801000000001</v>
      </c>
      <c r="AI7" s="27">
        <f t="shared" si="2"/>
        <v>49.260140999999997</v>
      </c>
      <c r="AJ7" s="27">
        <f t="shared" si="2"/>
        <v>49.701434999999989</v>
      </c>
      <c r="AK7" s="27">
        <f t="shared" si="2"/>
        <v>50.142728999999996</v>
      </c>
      <c r="AL7" s="27">
        <f t="shared" si="2"/>
        <v>133.393046</v>
      </c>
      <c r="AM7" s="27">
        <f t="shared" si="2"/>
        <v>359.93555999999995</v>
      </c>
      <c r="AN7" s="27">
        <f t="shared" si="2"/>
        <v>557.43361200000004</v>
      </c>
      <c r="AO7" s="27"/>
      <c r="AP7" s="27"/>
      <c r="AQ7" s="27"/>
    </row>
    <row r="8" spans="1:43">
      <c r="A8" s="22" t="s">
        <v>158</v>
      </c>
      <c r="B8" s="28">
        <f t="shared" ref="B8:AN8" si="3">B7/B2</f>
        <v>0.18179999999999999</v>
      </c>
      <c r="C8" s="28">
        <f t="shared" si="3"/>
        <v>0.18180000000000002</v>
      </c>
      <c r="D8" s="28">
        <f t="shared" si="3"/>
        <v>0.18179999999999996</v>
      </c>
      <c r="E8" s="28">
        <f t="shared" si="3"/>
        <v>0.19530000000000003</v>
      </c>
      <c r="F8" s="28">
        <f t="shared" si="3"/>
        <v>0.19530000000000003</v>
      </c>
      <c r="G8" s="28">
        <f t="shared" si="3"/>
        <v>0.1953</v>
      </c>
      <c r="H8" s="28">
        <f t="shared" si="3"/>
        <v>0.21030000000000004</v>
      </c>
      <c r="I8" s="28">
        <f t="shared" si="3"/>
        <v>0.21030000000000004</v>
      </c>
      <c r="J8" s="28">
        <f t="shared" si="3"/>
        <v>0.21030000000000004</v>
      </c>
      <c r="K8" s="28">
        <f t="shared" si="3"/>
        <v>0.22029999999999997</v>
      </c>
      <c r="L8" s="28">
        <f t="shared" si="3"/>
        <v>0.2203</v>
      </c>
      <c r="M8" s="28">
        <f t="shared" si="3"/>
        <v>0.22029999999999997</v>
      </c>
      <c r="N8" s="28">
        <f t="shared" si="3"/>
        <v>0.24530000000000002</v>
      </c>
      <c r="O8" s="28">
        <f t="shared" si="3"/>
        <v>0.24529999999999999</v>
      </c>
      <c r="P8" s="28">
        <f t="shared" si="3"/>
        <v>0.24530000000000002</v>
      </c>
      <c r="Q8" s="28">
        <f t="shared" si="3"/>
        <v>0.25030000000000002</v>
      </c>
      <c r="R8" s="28">
        <f t="shared" si="3"/>
        <v>0.25030000000000002</v>
      </c>
      <c r="S8" s="28">
        <f t="shared" si="3"/>
        <v>0.25030000000000002</v>
      </c>
      <c r="T8" s="28">
        <f t="shared" si="3"/>
        <v>0.25530000000000003</v>
      </c>
      <c r="U8" s="28">
        <f t="shared" si="3"/>
        <v>0.25530000000000003</v>
      </c>
      <c r="V8" s="28">
        <f t="shared" si="3"/>
        <v>0.25530000000000003</v>
      </c>
      <c r="W8" s="28">
        <f t="shared" si="3"/>
        <v>0.26030000000000003</v>
      </c>
      <c r="X8" s="28">
        <f t="shared" si="3"/>
        <v>0.26030000000000003</v>
      </c>
      <c r="Y8" s="28">
        <f t="shared" si="3"/>
        <v>0.26030000000000003</v>
      </c>
      <c r="Z8" s="28">
        <f t="shared" si="3"/>
        <v>0.27030000000000004</v>
      </c>
      <c r="AA8" s="28">
        <f t="shared" si="3"/>
        <v>0.27029999999999998</v>
      </c>
      <c r="AB8" s="28">
        <f t="shared" si="3"/>
        <v>0.27029999999999998</v>
      </c>
      <c r="AC8" s="28">
        <f t="shared" si="3"/>
        <v>0.27330000000000004</v>
      </c>
      <c r="AD8" s="28">
        <f t="shared" si="3"/>
        <v>0.27330000000000004</v>
      </c>
      <c r="AE8" s="28">
        <f t="shared" si="3"/>
        <v>0.27330000000000004</v>
      </c>
      <c r="AF8" s="28">
        <f t="shared" si="3"/>
        <v>0.27629999999999999</v>
      </c>
      <c r="AG8" s="28">
        <f t="shared" si="3"/>
        <v>0.27629999999999999</v>
      </c>
      <c r="AH8" s="28">
        <f t="shared" si="3"/>
        <v>0.27629999999999999</v>
      </c>
      <c r="AI8" s="28">
        <f t="shared" si="3"/>
        <v>0.27929999999999999</v>
      </c>
      <c r="AJ8" s="28">
        <f t="shared" si="3"/>
        <v>0.27929999999999994</v>
      </c>
      <c r="AK8" s="28">
        <f t="shared" si="3"/>
        <v>0.27929999999999999</v>
      </c>
      <c r="AL8" s="28">
        <f t="shared" si="3"/>
        <v>0.20597425342021558</v>
      </c>
      <c r="AM8" s="28">
        <f t="shared" si="3"/>
        <v>0.25379746157100547</v>
      </c>
      <c r="AN8" s="28">
        <f t="shared" si="3"/>
        <v>0.27494456654697552</v>
      </c>
      <c r="AO8" s="28"/>
      <c r="AP8" s="28"/>
      <c r="AQ8" s="28"/>
    </row>
    <row r="9" spans="1:43">
      <c r="A9" s="22" t="s">
        <v>159</v>
      </c>
      <c r="B9" s="27">
        <v>-0.15</v>
      </c>
      <c r="C9" s="27">
        <v>-0.15</v>
      </c>
      <c r="D9" s="27">
        <v>-0.15</v>
      </c>
      <c r="E9" s="27">
        <v>-0.15</v>
      </c>
      <c r="F9" s="27">
        <v>-0.15</v>
      </c>
      <c r="G9" s="27">
        <v>-0.15</v>
      </c>
      <c r="H9" s="27">
        <v>-0.15</v>
      </c>
      <c r="I9" s="27">
        <v>-0.15</v>
      </c>
      <c r="J9" s="27">
        <v>-0.15</v>
      </c>
      <c r="K9" s="27">
        <v>-0.15</v>
      </c>
      <c r="L9" s="27">
        <v>-0.15</v>
      </c>
      <c r="M9" s="27">
        <v>-0.15</v>
      </c>
      <c r="N9" s="27">
        <v>-0.217</v>
      </c>
      <c r="O9" s="27">
        <v>-0.217</v>
      </c>
      <c r="P9" s="27">
        <v>-0.217</v>
      </c>
      <c r="Q9" s="27">
        <v>-0.217</v>
      </c>
      <c r="R9" s="27">
        <v>-0.217</v>
      </c>
      <c r="S9" s="27">
        <v>-0.217</v>
      </c>
      <c r="T9" s="27">
        <v>-0.217</v>
      </c>
      <c r="U9" s="27">
        <v>-0.217</v>
      </c>
      <c r="V9" s="27">
        <v>-0.217</v>
      </c>
      <c r="W9" s="27">
        <v>-0.217</v>
      </c>
      <c r="X9" s="27">
        <v>-0.217</v>
      </c>
      <c r="Y9" s="27">
        <v>-0.217</v>
      </c>
      <c r="Z9" s="27">
        <v>-0.26700000000000002</v>
      </c>
      <c r="AA9" s="27">
        <v>-0.26700000000000002</v>
      </c>
      <c r="AB9" s="27">
        <v>-0.26700000000000002</v>
      </c>
      <c r="AC9" s="27">
        <v>-0.26700000000000002</v>
      </c>
      <c r="AD9" s="27">
        <v>-0.26700000000000002</v>
      </c>
      <c r="AE9" s="27">
        <v>-0.26700000000000002</v>
      </c>
      <c r="AF9" s="27">
        <v>-0.26700000000000002</v>
      </c>
      <c r="AG9" s="27">
        <v>-0.26700000000000002</v>
      </c>
      <c r="AH9" s="27">
        <v>-0.26700000000000002</v>
      </c>
      <c r="AI9" s="27">
        <v>-0.26700000000000002</v>
      </c>
      <c r="AJ9" s="27">
        <v>-0.26700000000000002</v>
      </c>
      <c r="AK9" s="27">
        <v>-0.26700000000000002</v>
      </c>
      <c r="AL9" s="27">
        <f>SUM(B9:M9)</f>
        <v>-1.7999999999999996</v>
      </c>
      <c r="AM9" s="27">
        <f>SUM(N9:Y9)</f>
        <v>-2.6040000000000005</v>
      </c>
      <c r="AN9" s="27">
        <f>SUM(Z9:AK9)</f>
        <v>-3.2039999999999993</v>
      </c>
      <c r="AO9" s="27"/>
      <c r="AP9" s="27"/>
      <c r="AQ9" s="27"/>
    </row>
    <row r="10" spans="1:43">
      <c r="A10" s="22" t="s">
        <v>160</v>
      </c>
      <c r="B10" s="28">
        <f t="shared" ref="B10:AN10" si="4">B11/B2</f>
        <v>0.17732238805970149</v>
      </c>
      <c r="C10" s="28">
        <f t="shared" si="4"/>
        <v>0.17667004103967168</v>
      </c>
      <c r="D10" s="28">
        <f t="shared" si="4"/>
        <v>0.17783174603174598</v>
      </c>
      <c r="E10" s="28">
        <f t="shared" si="4"/>
        <v>0.19204620390455535</v>
      </c>
      <c r="F10" s="28">
        <f t="shared" si="4"/>
        <v>0.19217108886107637</v>
      </c>
      <c r="G10" s="28">
        <f t="shared" si="4"/>
        <v>0.19223564862104189</v>
      </c>
      <c r="H10" s="28">
        <f t="shared" si="4"/>
        <v>0.20757173517642782</v>
      </c>
      <c r="I10" s="28">
        <f t="shared" si="4"/>
        <v>0.20784259501965927</v>
      </c>
      <c r="J10" s="28">
        <f t="shared" si="4"/>
        <v>0.208067524929305</v>
      </c>
      <c r="K10" s="28">
        <f t="shared" si="4"/>
        <v>0.21815346307956493</v>
      </c>
      <c r="L10" s="28">
        <f t="shared" si="4"/>
        <v>0.21826416938110749</v>
      </c>
      <c r="M10" s="28">
        <f t="shared" si="4"/>
        <v>0.21836001034661146</v>
      </c>
      <c r="N10" s="28">
        <f t="shared" si="4"/>
        <v>0.2427015088013412</v>
      </c>
      <c r="O10" s="28">
        <f t="shared" si="4"/>
        <v>0.24287270693512303</v>
      </c>
      <c r="P10" s="28">
        <f t="shared" si="4"/>
        <v>0.24302988806360501</v>
      </c>
      <c r="Q10" s="28">
        <f t="shared" si="4"/>
        <v>0.24817442452737784</v>
      </c>
      <c r="R10" s="28">
        <f t="shared" si="4"/>
        <v>0.24830734618916442</v>
      </c>
      <c r="S10" s="28">
        <f t="shared" si="4"/>
        <v>0.24843011632916853</v>
      </c>
      <c r="T10" s="28">
        <f t="shared" si="4"/>
        <v>0.25352174875030736</v>
      </c>
      <c r="U10" s="28">
        <f t="shared" si="4"/>
        <v>0.2536073322932918</v>
      </c>
      <c r="V10" s="28">
        <f t="shared" si="4"/>
        <v>0.25368745634242407</v>
      </c>
      <c r="W10" s="28">
        <f t="shared" si="4"/>
        <v>0.25876251948420015</v>
      </c>
      <c r="X10" s="28">
        <f t="shared" si="4"/>
        <v>0.25881278185182649</v>
      </c>
      <c r="Y10" s="28">
        <f t="shared" si="4"/>
        <v>0.25886110337510781</v>
      </c>
      <c r="Z10" s="28">
        <f t="shared" si="4"/>
        <v>0.26858659436565491</v>
      </c>
      <c r="AA10" s="28">
        <f t="shared" si="4"/>
        <v>0.26861503218477845</v>
      </c>
      <c r="AB10" s="28">
        <f t="shared" si="4"/>
        <v>0.26864264432029794</v>
      </c>
      <c r="AC10" s="28">
        <f t="shared" si="4"/>
        <v>0.27166926647529471</v>
      </c>
      <c r="AD10" s="28">
        <f t="shared" si="4"/>
        <v>0.27169504688627077</v>
      </c>
      <c r="AE10" s="28">
        <f t="shared" si="4"/>
        <v>0.27172011834319526</v>
      </c>
      <c r="AF10" s="28">
        <f t="shared" si="4"/>
        <v>0.27474432791470021</v>
      </c>
      <c r="AG10" s="28">
        <f t="shared" si="4"/>
        <v>0.27475851856128397</v>
      </c>
      <c r="AH10" s="28">
        <f t="shared" si="4"/>
        <v>0.27476789464623858</v>
      </c>
      <c r="AI10" s="28">
        <f t="shared" si="4"/>
        <v>0.27778613709814592</v>
      </c>
      <c r="AJ10" s="28">
        <f t="shared" si="4"/>
        <v>0.27779957853329579</v>
      </c>
      <c r="AK10" s="28">
        <f t="shared" si="4"/>
        <v>0.27781278337882243</v>
      </c>
      <c r="AL10" s="28">
        <f t="shared" si="4"/>
        <v>0.20319484574287391</v>
      </c>
      <c r="AM10" s="28">
        <f t="shared" si="4"/>
        <v>0.25196133126498377</v>
      </c>
      <c r="AN10" s="28">
        <f t="shared" si="4"/>
        <v>0.27336424851043684</v>
      </c>
      <c r="AO10" s="28"/>
      <c r="AP10" s="28"/>
      <c r="AQ10" s="28"/>
    </row>
    <row r="11" spans="1:43">
      <c r="A11" s="22" t="s">
        <v>161</v>
      </c>
      <c r="B11" s="27">
        <f t="shared" ref="B11:AN11" si="5">B7+B9</f>
        <v>5.9402999999999997</v>
      </c>
      <c r="C11" s="27">
        <f t="shared" si="5"/>
        <v>5.165832</v>
      </c>
      <c r="D11" s="27">
        <f t="shared" si="5"/>
        <v>6.722039999999998</v>
      </c>
      <c r="E11" s="27">
        <f t="shared" si="5"/>
        <v>8.8533300000000015</v>
      </c>
      <c r="F11" s="27">
        <f t="shared" si="5"/>
        <v>9.2126820000000009</v>
      </c>
      <c r="G11" s="27">
        <f t="shared" si="5"/>
        <v>9.4099350000000008</v>
      </c>
      <c r="H11" s="27">
        <f t="shared" si="5"/>
        <v>11.412294000000001</v>
      </c>
      <c r="I11" s="27">
        <f t="shared" si="5"/>
        <v>12.686712000000002</v>
      </c>
      <c r="J11" s="27">
        <f t="shared" si="5"/>
        <v>13.980057000000002</v>
      </c>
      <c r="K11" s="27">
        <f t="shared" si="5"/>
        <v>15.244563999999997</v>
      </c>
      <c r="L11" s="27">
        <f t="shared" si="5"/>
        <v>16.081704000000002</v>
      </c>
      <c r="M11" s="27">
        <f t="shared" si="5"/>
        <v>16.883595999999997</v>
      </c>
      <c r="N11" s="27">
        <f t="shared" si="5"/>
        <v>20.268003000000004</v>
      </c>
      <c r="O11" s="27">
        <f t="shared" si="5"/>
        <v>21.712820000000001</v>
      </c>
      <c r="P11" s="27">
        <f t="shared" si="5"/>
        <v>23.231227000000004</v>
      </c>
      <c r="Q11" s="27">
        <f t="shared" si="5"/>
        <v>25.336127000000005</v>
      </c>
      <c r="R11" s="27">
        <f t="shared" si="5"/>
        <v>27.040670000000006</v>
      </c>
      <c r="S11" s="27">
        <f t="shared" si="5"/>
        <v>28.830315000000006</v>
      </c>
      <c r="T11" s="27">
        <f t="shared" si="5"/>
        <v>30.937259000000005</v>
      </c>
      <c r="U11" s="27">
        <f t="shared" si="5"/>
        <v>32.512460000000004</v>
      </c>
      <c r="V11" s="27">
        <f t="shared" si="5"/>
        <v>34.138721000000004</v>
      </c>
      <c r="W11" s="27">
        <f t="shared" si="5"/>
        <v>36.521742000000003</v>
      </c>
      <c r="X11" s="27">
        <f t="shared" si="5"/>
        <v>37.763373000000001</v>
      </c>
      <c r="Y11" s="27">
        <f t="shared" si="5"/>
        <v>39.038843000000007</v>
      </c>
      <c r="Z11" s="27">
        <f t="shared" si="5"/>
        <v>41.853849000000004</v>
      </c>
      <c r="AA11" s="27">
        <f t="shared" si="5"/>
        <v>42.564737999999998</v>
      </c>
      <c r="AB11" s="27">
        <f t="shared" si="5"/>
        <v>43.278329999999997</v>
      </c>
      <c r="AC11" s="27">
        <f t="shared" si="5"/>
        <v>44.480409000000002</v>
      </c>
      <c r="AD11" s="27">
        <f t="shared" si="5"/>
        <v>45.199188000000007</v>
      </c>
      <c r="AE11" s="27">
        <f t="shared" si="5"/>
        <v>45.920700000000004</v>
      </c>
      <c r="AF11" s="27">
        <f t="shared" si="5"/>
        <v>47.154368999999996</v>
      </c>
      <c r="AG11" s="27">
        <f t="shared" si="5"/>
        <v>47.590922999999997</v>
      </c>
      <c r="AH11" s="27">
        <f t="shared" si="5"/>
        <v>47.883800999999998</v>
      </c>
      <c r="AI11" s="27">
        <f t="shared" si="5"/>
        <v>48.993140999999994</v>
      </c>
      <c r="AJ11" s="27">
        <f t="shared" si="5"/>
        <v>49.434434999999986</v>
      </c>
      <c r="AK11" s="27">
        <f t="shared" si="5"/>
        <v>49.875728999999993</v>
      </c>
      <c r="AL11" s="27">
        <f t="shared" si="5"/>
        <v>131.59304599999999</v>
      </c>
      <c r="AM11" s="27">
        <f t="shared" si="5"/>
        <v>357.33155999999997</v>
      </c>
      <c r="AN11" s="27">
        <f t="shared" si="5"/>
        <v>554.22961200000009</v>
      </c>
      <c r="AO11" s="27"/>
      <c r="AP11" s="27"/>
      <c r="AQ11" s="27"/>
    </row>
    <row r="12" spans="1:43">
      <c r="A12" s="22" t="s">
        <v>162</v>
      </c>
      <c r="B12" s="27">
        <f t="shared" ref="B12:AK12" si="6">B11*0.28</f>
        <v>1.663284</v>
      </c>
      <c r="C12" s="27">
        <f t="shared" si="6"/>
        <v>1.4464329600000001</v>
      </c>
      <c r="D12" s="27">
        <f t="shared" si="6"/>
        <v>1.8821711999999997</v>
      </c>
      <c r="E12" s="27">
        <f t="shared" si="6"/>
        <v>2.4789324000000006</v>
      </c>
      <c r="F12" s="27">
        <f t="shared" si="6"/>
        <v>2.5795509600000006</v>
      </c>
      <c r="G12" s="27">
        <f t="shared" si="6"/>
        <v>2.6347818000000003</v>
      </c>
      <c r="H12" s="27">
        <f t="shared" si="6"/>
        <v>3.1954423200000006</v>
      </c>
      <c r="I12" s="27">
        <f t="shared" si="6"/>
        <v>3.5522793600000009</v>
      </c>
      <c r="J12" s="27">
        <f t="shared" si="6"/>
        <v>3.9144159600000008</v>
      </c>
      <c r="K12" s="27">
        <f t="shared" si="6"/>
        <v>4.2684779199999996</v>
      </c>
      <c r="L12" s="27">
        <f t="shared" si="6"/>
        <v>4.5028771200000008</v>
      </c>
      <c r="M12" s="27">
        <f t="shared" si="6"/>
        <v>4.7274068799999993</v>
      </c>
      <c r="N12" s="27">
        <f t="shared" si="6"/>
        <v>5.6750408400000012</v>
      </c>
      <c r="O12" s="27">
        <f t="shared" si="6"/>
        <v>6.0795896000000011</v>
      </c>
      <c r="P12" s="27">
        <f t="shared" si="6"/>
        <v>6.5047435600000014</v>
      </c>
      <c r="Q12" s="27">
        <f t="shared" si="6"/>
        <v>7.0941155600000023</v>
      </c>
      <c r="R12" s="27">
        <f t="shared" si="6"/>
        <v>7.5713876000000022</v>
      </c>
      <c r="S12" s="27">
        <f t="shared" si="6"/>
        <v>8.0724882000000022</v>
      </c>
      <c r="T12" s="27">
        <f t="shared" si="6"/>
        <v>8.662432520000003</v>
      </c>
      <c r="U12" s="27">
        <f t="shared" si="6"/>
        <v>9.1034888000000027</v>
      </c>
      <c r="V12" s="27">
        <f t="shared" si="6"/>
        <v>9.5588418800000028</v>
      </c>
      <c r="W12" s="27">
        <f t="shared" si="6"/>
        <v>10.226087760000002</v>
      </c>
      <c r="X12" s="27">
        <f t="shared" si="6"/>
        <v>10.573744440000002</v>
      </c>
      <c r="Y12" s="27">
        <f t="shared" si="6"/>
        <v>10.930876040000003</v>
      </c>
      <c r="Z12" s="27">
        <f t="shared" si="6"/>
        <v>11.719077720000001</v>
      </c>
      <c r="AA12" s="27">
        <f t="shared" si="6"/>
        <v>11.918126640000001</v>
      </c>
      <c r="AB12" s="27">
        <f t="shared" si="6"/>
        <v>12.117932400000001</v>
      </c>
      <c r="AC12" s="27">
        <f t="shared" si="6"/>
        <v>12.454514520000002</v>
      </c>
      <c r="AD12" s="27">
        <f t="shared" si="6"/>
        <v>12.655772640000004</v>
      </c>
      <c r="AE12" s="27">
        <f t="shared" si="6"/>
        <v>12.857796000000002</v>
      </c>
      <c r="AF12" s="27">
        <f t="shared" si="6"/>
        <v>13.203223319999999</v>
      </c>
      <c r="AG12" s="27">
        <f t="shared" si="6"/>
        <v>13.32545844</v>
      </c>
      <c r="AH12" s="27">
        <f t="shared" si="6"/>
        <v>13.407464280000001</v>
      </c>
      <c r="AI12" s="27">
        <f t="shared" si="6"/>
        <v>13.71807948</v>
      </c>
      <c r="AJ12" s="27">
        <f t="shared" si="6"/>
        <v>13.841641799999998</v>
      </c>
      <c r="AK12" s="27">
        <f t="shared" si="6"/>
        <v>13.965204119999999</v>
      </c>
      <c r="AL12" s="27">
        <f>SUM(B12:M12)</f>
        <v>36.846052879999995</v>
      </c>
      <c r="AM12" s="27">
        <f>SUM(N12:Y12)</f>
        <v>100.05283680000001</v>
      </c>
      <c r="AN12" s="27">
        <f>SUM(Z12:AK12)</f>
        <v>155.18429136</v>
      </c>
      <c r="AO12" s="27"/>
      <c r="AP12" s="27"/>
      <c r="AQ12" s="27"/>
    </row>
    <row r="13" spans="1:43">
      <c r="A13" s="22" t="s">
        <v>163</v>
      </c>
      <c r="B13" s="28">
        <f t="shared" ref="B13:AN13" si="7">B14/B2</f>
        <v>0.12767211940298506</v>
      </c>
      <c r="C13" s="28">
        <f t="shared" si="7"/>
        <v>0.12720242954856362</v>
      </c>
      <c r="D13" s="28">
        <f t="shared" si="7"/>
        <v>0.12803885714285709</v>
      </c>
      <c r="E13" s="28">
        <f t="shared" si="7"/>
        <v>0.13827326681127985</v>
      </c>
      <c r="F13" s="28">
        <f t="shared" si="7"/>
        <v>0.13836318397997499</v>
      </c>
      <c r="G13" s="28">
        <f t="shared" si="7"/>
        <v>0.13840966700715016</v>
      </c>
      <c r="H13" s="28">
        <f t="shared" si="7"/>
        <v>0.14945164932702804</v>
      </c>
      <c r="I13" s="28">
        <f t="shared" si="7"/>
        <v>0.14964666841415467</v>
      </c>
      <c r="J13" s="28">
        <f t="shared" si="7"/>
        <v>0.14980861794909958</v>
      </c>
      <c r="K13" s="28">
        <f t="shared" si="7"/>
        <v>0.15707049341728677</v>
      </c>
      <c r="L13" s="28">
        <f t="shared" si="7"/>
        <v>0.15715020195439738</v>
      </c>
      <c r="M13" s="28">
        <f t="shared" si="7"/>
        <v>0.15721920744956025</v>
      </c>
      <c r="N13" s="28">
        <f t="shared" si="7"/>
        <v>0.17474508633696564</v>
      </c>
      <c r="O13" s="28">
        <f t="shared" si="7"/>
        <v>0.17486834899328857</v>
      </c>
      <c r="P13" s="28">
        <f t="shared" si="7"/>
        <v>0.17498151940579559</v>
      </c>
      <c r="Q13" s="28">
        <f t="shared" si="7"/>
        <v>0.17868558565971204</v>
      </c>
      <c r="R13" s="28">
        <f t="shared" si="7"/>
        <v>0.17878128925619838</v>
      </c>
      <c r="S13" s="28">
        <f t="shared" si="7"/>
        <v>0.17886968375700132</v>
      </c>
      <c r="T13" s="28">
        <f t="shared" si="7"/>
        <v>0.18253565910022126</v>
      </c>
      <c r="U13" s="28">
        <f t="shared" si="7"/>
        <v>0.18259727925117009</v>
      </c>
      <c r="V13" s="28">
        <f t="shared" si="7"/>
        <v>0.18265496856654531</v>
      </c>
      <c r="W13" s="28">
        <f t="shared" si="7"/>
        <v>0.1863090140286241</v>
      </c>
      <c r="X13" s="28">
        <f t="shared" si="7"/>
        <v>0.18634520293331505</v>
      </c>
      <c r="Y13" s="28">
        <f t="shared" si="7"/>
        <v>0.18637999443007761</v>
      </c>
      <c r="Z13" s="28">
        <f t="shared" si="7"/>
        <v>0.19338234794327153</v>
      </c>
      <c r="AA13" s="28">
        <f t="shared" si="7"/>
        <v>0.1934028231730405</v>
      </c>
      <c r="AB13" s="28">
        <f t="shared" si="7"/>
        <v>0.1934227039106145</v>
      </c>
      <c r="AC13" s="28">
        <f t="shared" si="7"/>
        <v>0.19560187186221217</v>
      </c>
      <c r="AD13" s="28">
        <f t="shared" si="7"/>
        <v>0.19562043375811494</v>
      </c>
      <c r="AE13" s="28">
        <f t="shared" si="7"/>
        <v>0.19563848520710062</v>
      </c>
      <c r="AF13" s="28">
        <f t="shared" si="7"/>
        <v>0.19781591609858415</v>
      </c>
      <c r="AG13" s="28">
        <f t="shared" si="7"/>
        <v>0.19782613336412444</v>
      </c>
      <c r="AH13" s="28">
        <f t="shared" si="7"/>
        <v>0.19783288414529177</v>
      </c>
      <c r="AI13" s="28">
        <f t="shared" si="7"/>
        <v>0.20000601871066503</v>
      </c>
      <c r="AJ13" s="28">
        <f t="shared" si="7"/>
        <v>0.20001569654397297</v>
      </c>
      <c r="AK13" s="28">
        <f t="shared" si="7"/>
        <v>0.20002520403275217</v>
      </c>
      <c r="AL13" s="28">
        <f t="shared" si="7"/>
        <v>0.14630028893486921</v>
      </c>
      <c r="AM13" s="28">
        <f t="shared" si="7"/>
        <v>0.18141215851078829</v>
      </c>
      <c r="AN13" s="28">
        <f t="shared" si="7"/>
        <v>0.19682225892751457</v>
      </c>
      <c r="AO13" s="28"/>
      <c r="AP13" s="28"/>
      <c r="AQ13" s="28"/>
    </row>
    <row r="14" spans="1:43">
      <c r="A14" s="22" t="s">
        <v>164</v>
      </c>
      <c r="B14" s="27">
        <f t="shared" ref="B14:AN14" si="8">B11-B12</f>
        <v>4.2770159999999997</v>
      </c>
      <c r="C14" s="27">
        <f t="shared" si="8"/>
        <v>3.7193990399999999</v>
      </c>
      <c r="D14" s="27">
        <f t="shared" si="8"/>
        <v>4.8398687999999979</v>
      </c>
      <c r="E14" s="27">
        <f t="shared" si="8"/>
        <v>6.3743976000000009</v>
      </c>
      <c r="F14" s="27">
        <f t="shared" si="8"/>
        <v>6.6331310400000003</v>
      </c>
      <c r="G14" s="27">
        <f t="shared" si="8"/>
        <v>6.7751532000000001</v>
      </c>
      <c r="H14" s="27">
        <f t="shared" si="8"/>
        <v>8.2168516800000013</v>
      </c>
      <c r="I14" s="27">
        <f t="shared" si="8"/>
        <v>9.13443264</v>
      </c>
      <c r="J14" s="27">
        <f t="shared" si="8"/>
        <v>10.065641040000001</v>
      </c>
      <c r="K14" s="27">
        <f t="shared" si="8"/>
        <v>10.976086079999998</v>
      </c>
      <c r="L14" s="27">
        <f t="shared" si="8"/>
        <v>11.578826880000001</v>
      </c>
      <c r="M14" s="27">
        <f t="shared" si="8"/>
        <v>12.156189119999997</v>
      </c>
      <c r="N14" s="27">
        <f t="shared" si="8"/>
        <v>14.592962160000003</v>
      </c>
      <c r="O14" s="27">
        <f t="shared" si="8"/>
        <v>15.633230399999999</v>
      </c>
      <c r="P14" s="27">
        <f t="shared" si="8"/>
        <v>16.726483440000003</v>
      </c>
      <c r="Q14" s="27">
        <f t="shared" si="8"/>
        <v>18.242011440000002</v>
      </c>
      <c r="R14" s="27">
        <f t="shared" si="8"/>
        <v>19.469282400000004</v>
      </c>
      <c r="S14" s="27">
        <f t="shared" si="8"/>
        <v>20.757826800000004</v>
      </c>
      <c r="T14" s="27">
        <f t="shared" si="8"/>
        <v>22.274826480000002</v>
      </c>
      <c r="U14" s="27">
        <f t="shared" si="8"/>
        <v>23.408971200000003</v>
      </c>
      <c r="V14" s="27">
        <f t="shared" si="8"/>
        <v>24.579879120000001</v>
      </c>
      <c r="W14" s="27">
        <f t="shared" si="8"/>
        <v>26.295654240000001</v>
      </c>
      <c r="X14" s="27">
        <f t="shared" si="8"/>
        <v>27.189628559999999</v>
      </c>
      <c r="Y14" s="27">
        <f t="shared" si="8"/>
        <v>28.107966960000006</v>
      </c>
      <c r="Z14" s="27">
        <f t="shared" si="8"/>
        <v>30.134771280000002</v>
      </c>
      <c r="AA14" s="27">
        <f t="shared" si="8"/>
        <v>30.646611359999998</v>
      </c>
      <c r="AB14" s="27">
        <f t="shared" si="8"/>
        <v>31.160397599999996</v>
      </c>
      <c r="AC14" s="27">
        <f t="shared" si="8"/>
        <v>32.025894479999998</v>
      </c>
      <c r="AD14" s="27">
        <f t="shared" si="8"/>
        <v>32.543415360000004</v>
      </c>
      <c r="AE14" s="27">
        <f t="shared" si="8"/>
        <v>33.062904000000003</v>
      </c>
      <c r="AF14" s="27">
        <f t="shared" si="8"/>
        <v>33.951145679999996</v>
      </c>
      <c r="AG14" s="27">
        <f t="shared" si="8"/>
        <v>34.265464559999998</v>
      </c>
      <c r="AH14" s="27">
        <f t="shared" si="8"/>
        <v>34.476336719999999</v>
      </c>
      <c r="AI14" s="27">
        <f t="shared" si="8"/>
        <v>35.275061519999994</v>
      </c>
      <c r="AJ14" s="27">
        <f t="shared" si="8"/>
        <v>35.592793199999988</v>
      </c>
      <c r="AK14" s="27">
        <f t="shared" si="8"/>
        <v>35.910524879999997</v>
      </c>
      <c r="AL14" s="27">
        <f t="shared" si="8"/>
        <v>94.746993119999985</v>
      </c>
      <c r="AM14" s="27">
        <f t="shared" si="8"/>
        <v>257.27872319999994</v>
      </c>
      <c r="AN14" s="27">
        <f t="shared" si="8"/>
        <v>399.04532064000011</v>
      </c>
      <c r="AO14" s="27"/>
      <c r="AP14" s="27"/>
      <c r="AQ14" s="27"/>
    </row>
    <row r="15" spans="1:43">
      <c r="A15" s="22" t="s">
        <v>165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</row>
    <row r="16" spans="1:43">
      <c r="A16" s="22" t="s">
        <v>166</v>
      </c>
      <c r="B16" s="28">
        <f t="shared" ref="B16:AN16" si="9">B17/B2</f>
        <v>0.12767211940298506</v>
      </c>
      <c r="C16" s="28">
        <f t="shared" si="9"/>
        <v>0.12720242954856362</v>
      </c>
      <c r="D16" s="28">
        <f t="shared" si="9"/>
        <v>0.12803885714285709</v>
      </c>
      <c r="E16" s="28">
        <f t="shared" si="9"/>
        <v>0.13827326681127985</v>
      </c>
      <c r="F16" s="28">
        <f t="shared" si="9"/>
        <v>0.13836318397997499</v>
      </c>
      <c r="G16" s="28">
        <f t="shared" si="9"/>
        <v>0.13840966700715016</v>
      </c>
      <c r="H16" s="28">
        <f t="shared" si="9"/>
        <v>0.14945164932702804</v>
      </c>
      <c r="I16" s="28">
        <f t="shared" si="9"/>
        <v>0.14964666841415467</v>
      </c>
      <c r="J16" s="28">
        <f t="shared" si="9"/>
        <v>0.14980861794909958</v>
      </c>
      <c r="K16" s="28">
        <f t="shared" si="9"/>
        <v>0.15707049341728677</v>
      </c>
      <c r="L16" s="28">
        <f t="shared" si="9"/>
        <v>0.15715020195439738</v>
      </c>
      <c r="M16" s="28">
        <f t="shared" si="9"/>
        <v>0.15721920744956025</v>
      </c>
      <c r="N16" s="28">
        <f t="shared" si="9"/>
        <v>0.17474508633696564</v>
      </c>
      <c r="O16" s="28">
        <f t="shared" si="9"/>
        <v>0.17486834899328857</v>
      </c>
      <c r="P16" s="28">
        <f t="shared" si="9"/>
        <v>0.17498151940579559</v>
      </c>
      <c r="Q16" s="28">
        <f t="shared" si="9"/>
        <v>0.17868558565971204</v>
      </c>
      <c r="R16" s="28">
        <f t="shared" si="9"/>
        <v>0.17878128925619838</v>
      </c>
      <c r="S16" s="28">
        <f t="shared" si="9"/>
        <v>0.17886968375700132</v>
      </c>
      <c r="T16" s="28">
        <f t="shared" si="9"/>
        <v>0.18253565910022126</v>
      </c>
      <c r="U16" s="28">
        <f t="shared" si="9"/>
        <v>0.18259727925117009</v>
      </c>
      <c r="V16" s="28">
        <f t="shared" si="9"/>
        <v>0.18265496856654531</v>
      </c>
      <c r="W16" s="28">
        <f t="shared" si="9"/>
        <v>0.1863090140286241</v>
      </c>
      <c r="X16" s="28">
        <f t="shared" si="9"/>
        <v>0.18634520293331505</v>
      </c>
      <c r="Y16" s="28">
        <f t="shared" si="9"/>
        <v>0.18637999443007761</v>
      </c>
      <c r="Z16" s="28">
        <f t="shared" si="9"/>
        <v>0.19338234794327153</v>
      </c>
      <c r="AA16" s="28">
        <f t="shared" si="9"/>
        <v>0.1934028231730405</v>
      </c>
      <c r="AB16" s="28">
        <f t="shared" si="9"/>
        <v>0.1934227039106145</v>
      </c>
      <c r="AC16" s="28">
        <f t="shared" si="9"/>
        <v>0.19560187186221217</v>
      </c>
      <c r="AD16" s="28">
        <f t="shared" si="9"/>
        <v>0.19562043375811494</v>
      </c>
      <c r="AE16" s="28">
        <f t="shared" si="9"/>
        <v>0.19563848520710062</v>
      </c>
      <c r="AF16" s="28">
        <f t="shared" si="9"/>
        <v>0.19781591609858415</v>
      </c>
      <c r="AG16" s="28">
        <f t="shared" si="9"/>
        <v>0.19782613336412444</v>
      </c>
      <c r="AH16" s="28">
        <f t="shared" si="9"/>
        <v>0.19783288414529177</v>
      </c>
      <c r="AI16" s="28">
        <f t="shared" si="9"/>
        <v>0.20000601871066503</v>
      </c>
      <c r="AJ16" s="28">
        <f t="shared" si="9"/>
        <v>0.20001569654397297</v>
      </c>
      <c r="AK16" s="28">
        <f t="shared" si="9"/>
        <v>0.20002520403275217</v>
      </c>
      <c r="AL16" s="28">
        <f t="shared" si="9"/>
        <v>0.14630028893486921</v>
      </c>
      <c r="AM16" s="28">
        <f t="shared" si="9"/>
        <v>0.18141215851078829</v>
      </c>
      <c r="AN16" s="28">
        <f t="shared" si="9"/>
        <v>0.19682225892751457</v>
      </c>
      <c r="AO16" s="28"/>
      <c r="AP16" s="28"/>
      <c r="AQ16" s="28"/>
    </row>
    <row r="17" spans="1:43">
      <c r="A17" s="22" t="s">
        <v>167</v>
      </c>
      <c r="B17" s="27">
        <f t="shared" ref="B17:AN17" si="10">B14*B15</f>
        <v>4.2770159999999997</v>
      </c>
      <c r="C17" s="27">
        <f t="shared" si="10"/>
        <v>3.7193990399999999</v>
      </c>
      <c r="D17" s="27">
        <f t="shared" si="10"/>
        <v>4.8398687999999979</v>
      </c>
      <c r="E17" s="27">
        <f t="shared" si="10"/>
        <v>6.3743976000000009</v>
      </c>
      <c r="F17" s="27">
        <f t="shared" si="10"/>
        <v>6.6331310400000003</v>
      </c>
      <c r="G17" s="27">
        <f t="shared" si="10"/>
        <v>6.7751532000000001</v>
      </c>
      <c r="H17" s="27">
        <f t="shared" si="10"/>
        <v>8.2168516800000013</v>
      </c>
      <c r="I17" s="27">
        <f t="shared" si="10"/>
        <v>9.13443264</v>
      </c>
      <c r="J17" s="27">
        <f t="shared" si="10"/>
        <v>10.065641040000001</v>
      </c>
      <c r="K17" s="27">
        <f t="shared" si="10"/>
        <v>10.976086079999998</v>
      </c>
      <c r="L17" s="27">
        <f t="shared" si="10"/>
        <v>11.578826880000001</v>
      </c>
      <c r="M17" s="27">
        <f t="shared" si="10"/>
        <v>12.156189119999997</v>
      </c>
      <c r="N17" s="27">
        <f t="shared" si="10"/>
        <v>14.592962160000003</v>
      </c>
      <c r="O17" s="27">
        <f t="shared" si="10"/>
        <v>15.633230399999999</v>
      </c>
      <c r="P17" s="27">
        <f t="shared" si="10"/>
        <v>16.726483440000003</v>
      </c>
      <c r="Q17" s="27">
        <f t="shared" si="10"/>
        <v>18.242011440000002</v>
      </c>
      <c r="R17" s="27">
        <f t="shared" si="10"/>
        <v>19.469282400000004</v>
      </c>
      <c r="S17" s="27">
        <f t="shared" si="10"/>
        <v>20.757826800000004</v>
      </c>
      <c r="T17" s="27">
        <f t="shared" si="10"/>
        <v>22.274826480000002</v>
      </c>
      <c r="U17" s="27">
        <f t="shared" si="10"/>
        <v>23.408971200000003</v>
      </c>
      <c r="V17" s="27">
        <f t="shared" si="10"/>
        <v>24.579879120000001</v>
      </c>
      <c r="W17" s="27">
        <f t="shared" si="10"/>
        <v>26.295654240000001</v>
      </c>
      <c r="X17" s="27">
        <f t="shared" si="10"/>
        <v>27.189628559999999</v>
      </c>
      <c r="Y17" s="27">
        <f t="shared" si="10"/>
        <v>28.107966960000006</v>
      </c>
      <c r="Z17" s="27">
        <f t="shared" si="10"/>
        <v>30.134771280000002</v>
      </c>
      <c r="AA17" s="27">
        <f t="shared" si="10"/>
        <v>30.646611359999998</v>
      </c>
      <c r="AB17" s="27">
        <f t="shared" si="10"/>
        <v>31.160397599999996</v>
      </c>
      <c r="AC17" s="27">
        <f t="shared" si="10"/>
        <v>32.025894479999998</v>
      </c>
      <c r="AD17" s="27">
        <f t="shared" si="10"/>
        <v>32.543415360000004</v>
      </c>
      <c r="AE17" s="27">
        <f t="shared" si="10"/>
        <v>33.062904000000003</v>
      </c>
      <c r="AF17" s="27">
        <f t="shared" si="10"/>
        <v>33.951145679999996</v>
      </c>
      <c r="AG17" s="27">
        <f t="shared" si="10"/>
        <v>34.265464559999998</v>
      </c>
      <c r="AH17" s="27">
        <f t="shared" si="10"/>
        <v>34.476336719999999</v>
      </c>
      <c r="AI17" s="27">
        <f t="shared" si="10"/>
        <v>35.275061519999994</v>
      </c>
      <c r="AJ17" s="27">
        <f t="shared" si="10"/>
        <v>35.592793199999988</v>
      </c>
      <c r="AK17" s="27">
        <f t="shared" si="10"/>
        <v>35.910524879999997</v>
      </c>
      <c r="AL17" s="27">
        <f t="shared" si="10"/>
        <v>94.746993119999985</v>
      </c>
      <c r="AM17" s="27">
        <f t="shared" si="10"/>
        <v>257.27872319999994</v>
      </c>
      <c r="AN17" s="27">
        <f t="shared" si="10"/>
        <v>399.04532064000011</v>
      </c>
      <c r="AO17" s="27"/>
      <c r="AP17" s="27"/>
      <c r="AQ17" s="27"/>
    </row>
    <row r="18" spans="1:43">
      <c r="A18" s="22" t="s">
        <v>168</v>
      </c>
      <c r="B18" s="29">
        <v>2.8877463699999999</v>
      </c>
      <c r="C18" s="29">
        <v>2.8877463699999999</v>
      </c>
      <c r="D18" s="29">
        <v>2.8877463699999999</v>
      </c>
      <c r="E18" s="29">
        <v>2.8877463699999999</v>
      </c>
      <c r="F18" s="29">
        <v>2.8877463699999999</v>
      </c>
      <c r="G18" s="29">
        <v>2.8877463699999999</v>
      </c>
      <c r="H18" s="29">
        <v>2.8877463699999999</v>
      </c>
      <c r="I18" s="29">
        <v>2.8877463699999999</v>
      </c>
      <c r="J18" s="29">
        <v>2.8877463699999999</v>
      </c>
      <c r="K18" s="29">
        <v>2.8877463699999999</v>
      </c>
      <c r="L18" s="29">
        <v>2.8877463699999999</v>
      </c>
      <c r="M18" s="29">
        <v>2.8877463699999999</v>
      </c>
      <c r="N18" s="29">
        <v>2.8877463699999999</v>
      </c>
      <c r="O18" s="29">
        <v>2.8877463699999999</v>
      </c>
      <c r="P18" s="29">
        <v>2.8877463699999999</v>
      </c>
      <c r="Q18" s="29">
        <v>2.8877463699999999</v>
      </c>
      <c r="R18" s="29">
        <v>2.8877463699999999</v>
      </c>
      <c r="S18" s="29">
        <v>2.8877463699999999</v>
      </c>
      <c r="T18" s="29">
        <v>2.8877463699999999</v>
      </c>
      <c r="U18" s="29">
        <v>2.8877463699999999</v>
      </c>
      <c r="V18" s="29">
        <v>2.8877463699999999</v>
      </c>
      <c r="W18" s="29">
        <v>2.8877463699999999</v>
      </c>
      <c r="X18" s="29">
        <v>2.8877463699999999</v>
      </c>
      <c r="Y18" s="29">
        <v>2.8877463699999999</v>
      </c>
      <c r="Z18" s="29">
        <v>2.8877463699999999</v>
      </c>
      <c r="AA18" s="29">
        <v>2.8877463699999999</v>
      </c>
      <c r="AB18" s="29">
        <v>2.8877463699999999</v>
      </c>
      <c r="AC18" s="29">
        <v>2.8877463699999999</v>
      </c>
      <c r="AD18" s="29">
        <v>2.8877463699999999</v>
      </c>
      <c r="AE18" s="29">
        <v>2.8877463699999999</v>
      </c>
      <c r="AF18" s="29">
        <v>2.8877463699999999</v>
      </c>
      <c r="AG18" s="29">
        <v>2.8877463699999999</v>
      </c>
      <c r="AH18" s="29">
        <v>2.8877463699999999</v>
      </c>
      <c r="AI18" s="29">
        <v>2.8877463699999999</v>
      </c>
      <c r="AJ18" s="29">
        <v>2.8877463699999999</v>
      </c>
      <c r="AK18" s="29">
        <v>2.8877463699999999</v>
      </c>
      <c r="AL18" s="29">
        <v>2.8877463699999999</v>
      </c>
      <c r="AM18" s="29">
        <v>2.8877463699999999</v>
      </c>
      <c r="AN18" s="29">
        <v>2.8877463699999999</v>
      </c>
      <c r="AO18" s="29"/>
      <c r="AP18" s="29"/>
      <c r="AQ18" s="29"/>
    </row>
    <row r="19" spans="1:43">
      <c r="A19" t="s">
        <v>169</v>
      </c>
      <c r="B19" s="27">
        <f t="shared" ref="B19:AN19" si="11">B17/B18</f>
        <v>1.4810912912687688</v>
      </c>
      <c r="C19" s="27">
        <f t="shared" si="11"/>
        <v>1.2879936682250941</v>
      </c>
      <c r="D19" s="27">
        <f t="shared" si="11"/>
        <v>1.6760020375335103</v>
      </c>
      <c r="E19" s="27">
        <f t="shared" si="11"/>
        <v>2.2073952429554957</v>
      </c>
      <c r="F19" s="27">
        <f t="shared" si="11"/>
        <v>2.2969922528203197</v>
      </c>
      <c r="G19" s="27">
        <f t="shared" si="11"/>
        <v>2.3461732201917722</v>
      </c>
      <c r="H19" s="27">
        <f t="shared" si="11"/>
        <v>2.8454201398580588</v>
      </c>
      <c r="I19" s="27">
        <f t="shared" si="11"/>
        <v>3.1631699843501146</v>
      </c>
      <c r="J19" s="27">
        <f t="shared" si="11"/>
        <v>3.4856388859385881</v>
      </c>
      <c r="K19" s="27">
        <f t="shared" si="11"/>
        <v>3.8009176269867488</v>
      </c>
      <c r="L19" s="27">
        <f t="shared" si="11"/>
        <v>4.009641220672715</v>
      </c>
      <c r="M19" s="27">
        <f t="shared" si="11"/>
        <v>4.2095764525192694</v>
      </c>
      <c r="N19" s="27">
        <f t="shared" si="11"/>
        <v>5.0534085373986644</v>
      </c>
      <c r="O19" s="27">
        <f t="shared" si="11"/>
        <v>5.4136438582035167</v>
      </c>
      <c r="P19" s="27">
        <f t="shared" si="11"/>
        <v>5.7922273277760201</v>
      </c>
      <c r="Q19" s="27">
        <f t="shared" si="11"/>
        <v>6.3170407309697367</v>
      </c>
      <c r="R19" s="27">
        <f t="shared" si="11"/>
        <v>6.7420333732425419</v>
      </c>
      <c r="S19" s="27">
        <f t="shared" si="11"/>
        <v>7.1882444440576005</v>
      </c>
      <c r="T19" s="27">
        <f t="shared" si="11"/>
        <v>7.7135674764955215</v>
      </c>
      <c r="U19" s="27">
        <f t="shared" si="11"/>
        <v>8.1063113586391609</v>
      </c>
      <c r="V19" s="27">
        <f t="shared" si="11"/>
        <v>8.5117859987129005</v>
      </c>
      <c r="W19" s="27">
        <f t="shared" si="11"/>
        <v>9.1059431372430399</v>
      </c>
      <c r="X19" s="27">
        <f t="shared" si="11"/>
        <v>9.4155182194896145</v>
      </c>
      <c r="Y19" s="27">
        <f t="shared" si="11"/>
        <v>9.7335303584850514</v>
      </c>
      <c r="Z19" s="27">
        <f t="shared" si="11"/>
        <v>10.435394047434992</v>
      </c>
      <c r="AA19" s="27">
        <f t="shared" si="11"/>
        <v>10.612639558092493</v>
      </c>
      <c r="AB19" s="27">
        <f t="shared" si="11"/>
        <v>10.790559006052876</v>
      </c>
      <c r="AC19" s="27">
        <f t="shared" si="11"/>
        <v>11.090272612826451</v>
      </c>
      <c r="AD19" s="27">
        <f t="shared" si="11"/>
        <v>11.26948533225929</v>
      </c>
      <c r="AE19" s="27">
        <f t="shared" si="11"/>
        <v>11.44937946887628</v>
      </c>
      <c r="AF19" s="27">
        <f t="shared" si="11"/>
        <v>11.756969390632459</v>
      </c>
      <c r="AG19" s="27">
        <f t="shared" si="11"/>
        <v>11.865815126970448</v>
      </c>
      <c r="AH19" s="27">
        <f t="shared" si="11"/>
        <v>11.93883821590606</v>
      </c>
      <c r="AI19" s="27">
        <f t="shared" si="11"/>
        <v>12.215429265694132</v>
      </c>
      <c r="AJ19" s="27">
        <f t="shared" si="11"/>
        <v>12.325456823273573</v>
      </c>
      <c r="AK19" s="27">
        <f t="shared" si="11"/>
        <v>12.435484380853017</v>
      </c>
      <c r="AL19" s="27">
        <f t="shared" si="11"/>
        <v>32.810012023320454</v>
      </c>
      <c r="AM19" s="27">
        <f t="shared" si="11"/>
        <v>89.093254820713341</v>
      </c>
      <c r="AN19" s="27">
        <f t="shared" si="11"/>
        <v>138.18572322887212</v>
      </c>
      <c r="AO19" s="27">
        <v>35.270000000000003</v>
      </c>
      <c r="AP19" s="27">
        <v>76.400000000000006</v>
      </c>
      <c r="AQ19" s="27">
        <v>128.94999999999999</v>
      </c>
    </row>
    <row r="20" spans="1:43">
      <c r="A20" t="s">
        <v>170</v>
      </c>
      <c r="B20" s="27">
        <f>SUM(B19:D19)</f>
        <v>4.4450869970273734</v>
      </c>
      <c r="C20" s="27"/>
      <c r="D20" s="27"/>
      <c r="E20" s="27">
        <f>SUM(E19:G19)</f>
        <v>6.8505607159675872</v>
      </c>
      <c r="F20" s="27"/>
      <c r="G20" s="27"/>
      <c r="H20" s="27">
        <f>SUM(H19:J19)</f>
        <v>9.4942290101467606</v>
      </c>
      <c r="I20" s="27"/>
      <c r="J20" s="27"/>
      <c r="K20" s="27">
        <f>SUM(K19:M19)</f>
        <v>12.020135300178733</v>
      </c>
      <c r="L20" s="27"/>
      <c r="M20" s="27"/>
      <c r="N20" s="27">
        <f>SUM(N19:P19)</f>
        <v>16.259279723378199</v>
      </c>
      <c r="O20" s="27"/>
      <c r="P20" s="27"/>
      <c r="Q20" s="27">
        <f>SUM(Q19:S19)</f>
        <v>20.247318548269881</v>
      </c>
      <c r="R20" s="27"/>
      <c r="S20" s="27"/>
      <c r="T20" s="27">
        <f>SUM(T19:V19)</f>
        <v>24.331664833847583</v>
      </c>
      <c r="U20" s="27"/>
      <c r="V20" s="27"/>
      <c r="W20" s="27">
        <f>SUM(W19:Y19)</f>
        <v>28.254991715217706</v>
      </c>
      <c r="X20" s="27"/>
      <c r="Y20" s="27"/>
      <c r="Z20" s="27">
        <f>SUM(Z19:AB19)</f>
        <v>31.83859261158036</v>
      </c>
      <c r="AA20" s="27"/>
      <c r="AB20" s="27"/>
      <c r="AC20" s="27">
        <f>SUM(AC19:AE19)</f>
        <v>33.80913741396202</v>
      </c>
      <c r="AD20" s="27"/>
      <c r="AE20" s="27"/>
      <c r="AF20" s="27">
        <f>SUM(AF19:AH19)</f>
        <v>35.561622733508969</v>
      </c>
      <c r="AG20" s="27"/>
      <c r="AH20" s="27"/>
      <c r="AI20" s="27">
        <f>SUM(AI19:AK19)</f>
        <v>36.976370469820722</v>
      </c>
      <c r="AJ20" s="27"/>
      <c r="AK20" s="27"/>
      <c r="AL20" s="27"/>
      <c r="AM20" s="27"/>
      <c r="AN20" s="27"/>
      <c r="AO20" s="27"/>
      <c r="AP20" s="27"/>
      <c r="AQ20" s="27"/>
    </row>
    <row r="26" spans="1:43">
      <c r="A26" s="22" t="s">
        <v>171</v>
      </c>
      <c r="B26" s="27">
        <f>B20+E20+H20+K20</f>
        <v>32.810012023320454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>
        <f>N20+Q20+T20+W20</f>
        <v>89.093254820713369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>
        <f>Z20+AC20+AF20+AI20</f>
        <v>138.18572322887206</v>
      </c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</row>
    <row r="28" spans="1:43">
      <c r="A28" t="s">
        <v>172</v>
      </c>
      <c r="B28" s="22" t="s">
        <v>180</v>
      </c>
    </row>
    <row r="29" spans="1:43">
      <c r="B29" s="22" t="s">
        <v>181</v>
      </c>
    </row>
    <row r="30" spans="1:43">
      <c r="B30" s="22" t="s">
        <v>182</v>
      </c>
    </row>
    <row r="31" spans="1:43">
      <c r="B31" s="22" t="s">
        <v>183</v>
      </c>
    </row>
    <row r="32" spans="1:43">
      <c r="B32" s="22" t="s">
        <v>184</v>
      </c>
    </row>
    <row r="33" spans="2:2">
      <c r="B33" s="22" t="s">
        <v>185</v>
      </c>
    </row>
    <row r="34" spans="2:2">
      <c r="B34" s="22" t="s">
        <v>186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zoomScaleNormal="100" workbookViewId="0">
      <selection activeCell="I13" sqref="I13"/>
    </sheetView>
  </sheetViews>
  <sheetFormatPr defaultColWidth="8.6640625" defaultRowHeight="14.4"/>
  <cols>
    <col min="1" max="1" width="44" customWidth="1"/>
    <col min="2" max="2" width="8" customWidth="1"/>
    <col min="3" max="5" width="12" customWidth="1"/>
    <col min="6" max="6" width="44" customWidth="1"/>
  </cols>
  <sheetData>
    <row r="1" spans="1:6" ht="17.399999999999999">
      <c r="A1" s="3" t="s">
        <v>187</v>
      </c>
    </row>
    <row r="2" spans="1:6">
      <c r="A2" s="4" t="s">
        <v>188</v>
      </c>
    </row>
    <row r="4" spans="1:6">
      <c r="A4" s="5" t="s">
        <v>189</v>
      </c>
      <c r="B4" s="5" t="s">
        <v>4</v>
      </c>
      <c r="C4" s="6" t="s">
        <v>6</v>
      </c>
      <c r="D4" s="6" t="s">
        <v>7</v>
      </c>
      <c r="E4" s="6" t="s">
        <v>8</v>
      </c>
      <c r="F4" s="5" t="s">
        <v>88</v>
      </c>
    </row>
    <row r="5" spans="1:6">
      <c r="A5" s="19" t="s">
        <v>190</v>
      </c>
      <c r="B5" s="31" t="s">
        <v>89</v>
      </c>
      <c r="C5" s="15">
        <v>12.74</v>
      </c>
      <c r="D5" s="15">
        <v>35.65</v>
      </c>
      <c r="E5" s="15">
        <v>52.9</v>
      </c>
      <c r="F5" s="17" t="s">
        <v>191</v>
      </c>
    </row>
    <row r="6" spans="1:6">
      <c r="A6" s="19"/>
      <c r="B6" s="31" t="s">
        <v>100</v>
      </c>
      <c r="C6" s="15">
        <v>32.81</v>
      </c>
      <c r="D6" s="15">
        <v>89.09</v>
      </c>
      <c r="E6" s="15">
        <v>138.19</v>
      </c>
      <c r="F6" s="19"/>
    </row>
    <row r="7" spans="1:6">
      <c r="A7" s="21" t="s">
        <v>192</v>
      </c>
      <c r="B7" s="32" t="s">
        <v>89</v>
      </c>
      <c r="C7" s="33">
        <v>12.74</v>
      </c>
      <c r="D7" s="33">
        <v>44.87</v>
      </c>
      <c r="E7" s="33">
        <v>72.209999999999994</v>
      </c>
      <c r="F7" s="11" t="s">
        <v>193</v>
      </c>
    </row>
    <row r="8" spans="1:6">
      <c r="A8" s="34"/>
      <c r="B8" s="32" t="s">
        <v>100</v>
      </c>
      <c r="C8" s="33">
        <v>32.81</v>
      </c>
      <c r="D8" s="33">
        <v>89.09</v>
      </c>
      <c r="E8" s="33">
        <v>138.19</v>
      </c>
      <c r="F8" s="34"/>
    </row>
    <row r="9" spans="1:6">
      <c r="A9" s="8" t="s">
        <v>194</v>
      </c>
      <c r="B9" s="31" t="s">
        <v>89</v>
      </c>
      <c r="C9" s="15">
        <v>12.53</v>
      </c>
      <c r="D9" s="15">
        <v>29.49</v>
      </c>
      <c r="E9" s="15">
        <v>41.88</v>
      </c>
      <c r="F9" s="11" t="s">
        <v>195</v>
      </c>
    </row>
    <row r="10" spans="1:6">
      <c r="A10" s="19"/>
      <c r="B10" s="31" t="s">
        <v>100</v>
      </c>
      <c r="C10" s="15">
        <v>32.14</v>
      </c>
      <c r="D10" s="15">
        <v>73.290000000000006</v>
      </c>
      <c r="E10" s="15">
        <v>108.93</v>
      </c>
      <c r="F10" s="19"/>
    </row>
    <row r="11" spans="1:6">
      <c r="A11" s="8" t="s">
        <v>196</v>
      </c>
      <c r="B11" s="31" t="s">
        <v>89</v>
      </c>
      <c r="C11" s="15">
        <v>12.74</v>
      </c>
      <c r="D11" s="15">
        <v>34.61</v>
      </c>
      <c r="E11" s="15">
        <v>75.25</v>
      </c>
      <c r="F11" s="11" t="s">
        <v>197</v>
      </c>
    </row>
    <row r="12" spans="1:6">
      <c r="A12" s="19"/>
      <c r="B12" s="31" t="s">
        <v>100</v>
      </c>
      <c r="C12" s="15">
        <v>32.700000000000003</v>
      </c>
      <c r="D12" s="15">
        <v>86.88</v>
      </c>
      <c r="E12" s="15">
        <v>198.77</v>
      </c>
      <c r="F12" s="19"/>
    </row>
    <row r="14" spans="1:6">
      <c r="A14" s="35" t="s">
        <v>198</v>
      </c>
      <c r="B14" s="5" t="s">
        <v>89</v>
      </c>
      <c r="C14" s="36">
        <v>9.5399999999999991</v>
      </c>
      <c r="D14" s="36">
        <v>17.14</v>
      </c>
      <c r="E14" s="36">
        <v>14.8</v>
      </c>
    </row>
    <row r="15" spans="1:6">
      <c r="A15" s="35"/>
      <c r="B15" s="5" t="s">
        <v>100</v>
      </c>
      <c r="C15" s="36">
        <v>35.270000000000003</v>
      </c>
      <c r="D15" s="36">
        <v>76.400000000000006</v>
      </c>
      <c r="E15" s="36">
        <v>128.94999999999999</v>
      </c>
    </row>
    <row r="17" spans="1:6">
      <c r="A17" s="2" t="s">
        <v>199</v>
      </c>
      <c r="B17" s="2"/>
      <c r="C17" s="2"/>
      <c r="D17" s="2"/>
      <c r="E17" s="2"/>
      <c r="F17" s="2"/>
    </row>
    <row r="18" spans="1:6">
      <c r="A18" s="4" t="s">
        <v>200</v>
      </c>
    </row>
    <row r="19" spans="1:6">
      <c r="A19" s="4" t="s">
        <v>201</v>
      </c>
    </row>
    <row r="20" spans="1:6">
      <c r="A20" s="4" t="s">
        <v>202</v>
      </c>
    </row>
    <row r="21" spans="1:6">
      <c r="A21" s="4" t="s">
        <v>203</v>
      </c>
    </row>
    <row r="22" spans="1:6">
      <c r="A22" s="4" t="s">
        <v>204</v>
      </c>
    </row>
    <row r="23" spans="1:6">
      <c r="A23" s="4" t="s">
        <v>205</v>
      </c>
    </row>
    <row r="24" spans="1:6">
      <c r="A24" s="4" t="s">
        <v>206</v>
      </c>
    </row>
  </sheetData>
  <mergeCells count="1">
    <mergeCell ref="A17:F17"/>
  </mergeCells>
  <phoneticPr fontId="14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對照總表</vt:lpstr>
      <vt:lpstr>產品組合假設_M6toM9</vt:lpstr>
      <vt:lpstr>聯茂6213_月度模型</vt:lpstr>
      <vt:lpstr>台燿6274_月度模型</vt:lpstr>
      <vt:lpstr>漲價路徑敏感度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楊亞臻</cp:lastModifiedBy>
  <cp:revision>0</cp:revision>
  <dcterms:created xsi:type="dcterms:W3CDTF">2026-07-25T10:36:38Z</dcterms:created>
  <dcterms:modified xsi:type="dcterms:W3CDTF">2026-07-26T09:23:50Z</dcterms:modified>
  <dc:language>en-US</dc:language>
</cp:coreProperties>
</file>