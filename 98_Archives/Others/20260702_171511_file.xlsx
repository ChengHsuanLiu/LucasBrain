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10\Desktop\ER\"/>
    </mc:Choice>
  </mc:AlternateContent>
  <xr:revisionPtr revIDLastSave="0" documentId="13_ncr:1_{36B26B52-9035-48B1-BA5F-B3B726057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S8" i="2"/>
  <c r="T6" i="2"/>
  <c r="S6" i="2"/>
  <c r="S7" i="2" s="1"/>
  <c r="S4" i="2"/>
  <c r="S3" i="2"/>
  <c r="T2" i="2"/>
  <c r="S2" i="2"/>
  <c r="P10" i="2"/>
  <c r="O10" i="2"/>
  <c r="H10" i="2"/>
  <c r="I2" i="2"/>
  <c r="J2" i="2"/>
  <c r="K2" i="2"/>
  <c r="P2" i="2" s="1"/>
  <c r="L2" i="2"/>
  <c r="M2" i="2"/>
  <c r="N2" i="2"/>
  <c r="H2" i="2"/>
  <c r="O2" i="2" s="1"/>
  <c r="J6" i="2"/>
  <c r="I6" i="2"/>
  <c r="H6" i="2"/>
  <c r="O12" i="2"/>
  <c r="I10" i="2"/>
  <c r="M3" i="2"/>
  <c r="P3" i="2"/>
  <c r="N46" i="2"/>
  <c r="R46" i="2" s="1"/>
  <c r="N57" i="2"/>
  <c r="N50" i="2"/>
  <c r="B10" i="2"/>
  <c r="C10" i="2"/>
  <c r="D10" i="2"/>
  <c r="E10" i="2"/>
  <c r="B14" i="2"/>
  <c r="C14" i="2"/>
  <c r="D14" i="2"/>
  <c r="E14" i="2"/>
  <c r="B6" i="2"/>
  <c r="B8" i="2" s="1"/>
  <c r="B3" i="2" s="1"/>
  <c r="C6" i="2"/>
  <c r="C8" i="2" s="1"/>
  <c r="C3" i="2" s="1"/>
  <c r="D6" i="2"/>
  <c r="D8" i="2" s="1"/>
  <c r="D3" i="2" s="1"/>
  <c r="E6" i="2"/>
  <c r="E8" i="2" s="1"/>
  <c r="E3" i="2" s="1"/>
  <c r="F6" i="2"/>
  <c r="F8" i="2" s="1"/>
  <c r="F3" i="2" s="1"/>
  <c r="G6" i="2"/>
  <c r="G8" i="2" s="1"/>
  <c r="G3" i="2" s="1"/>
  <c r="D59" i="2"/>
  <c r="D58" i="2"/>
  <c r="D57" i="2"/>
  <c r="D56" i="2"/>
  <c r="D52" i="2"/>
  <c r="D54" i="2" s="1"/>
  <c r="G10" i="2"/>
  <c r="J10" i="2"/>
  <c r="K10" i="2"/>
  <c r="L10" i="2"/>
  <c r="F10" i="2"/>
  <c r="G14" i="2"/>
  <c r="H14" i="2"/>
  <c r="I14" i="2"/>
  <c r="J14" i="2"/>
  <c r="K14" i="2"/>
  <c r="L14" i="2"/>
  <c r="M14" i="2"/>
  <c r="F14" i="2"/>
  <c r="O14" i="2" s="1"/>
  <c r="I8" i="2"/>
  <c r="I3" i="2" s="1"/>
  <c r="J8" i="2"/>
  <c r="K6" i="2"/>
  <c r="K8" i="2" s="1"/>
  <c r="K3" i="2" s="1"/>
  <c r="L6" i="2"/>
  <c r="L8" i="2" s="1"/>
  <c r="L3" i="2" s="1"/>
  <c r="M6" i="2"/>
  <c r="M8" i="2" s="1"/>
  <c r="H8" i="2"/>
  <c r="P55" i="2"/>
  <c r="P51" i="2"/>
  <c r="E42" i="2"/>
  <c r="D42" i="2"/>
  <c r="C42" i="2"/>
  <c r="B42" i="2"/>
  <c r="E37" i="2"/>
  <c r="E36" i="2" s="1"/>
  <c r="E40" i="2" s="1"/>
  <c r="D36" i="2"/>
  <c r="C36" i="2"/>
  <c r="B36" i="2"/>
  <c r="P12" i="2"/>
  <c r="N12" i="2"/>
  <c r="P11" i="2"/>
  <c r="M10" i="2"/>
  <c r="R49" i="2" l="1"/>
  <c r="R48" i="2"/>
  <c r="R50" i="2" s="1"/>
  <c r="R47" i="2"/>
  <c r="N62" i="2"/>
  <c r="N58" i="2"/>
  <c r="P14" i="2"/>
  <c r="F2" i="2"/>
  <c r="N59" i="2"/>
  <c r="N52" i="2"/>
  <c r="N54" i="2" s="1"/>
  <c r="J3" i="2"/>
  <c r="P8" i="2"/>
  <c r="O8" i="2"/>
  <c r="D55" i="2"/>
  <c r="D60" i="2"/>
  <c r="G2" i="2"/>
  <c r="P6" i="2"/>
  <c r="N10" i="2"/>
  <c r="O6" i="2"/>
  <c r="O3" i="2" l="1"/>
  <c r="F37" i="2"/>
  <c r="F36" i="2"/>
  <c r="F39" i="2"/>
  <c r="N56" i="2"/>
  <c r="N60" i="2"/>
  <c r="G40" i="2"/>
  <c r="G39" i="2"/>
  <c r="G37" i="2"/>
  <c r="G38" i="2"/>
  <c r="N6" i="2"/>
  <c r="F35" i="2"/>
  <c r="G36" i="2"/>
  <c r="H39" i="2" l="1"/>
  <c r="H37" i="2"/>
  <c r="H38" i="2"/>
  <c r="H36" i="2"/>
  <c r="H40" i="2"/>
  <c r="T4" i="2"/>
  <c r="J35" i="2"/>
  <c r="F41" i="2"/>
  <c r="F42" i="2" s="1"/>
  <c r="F25" i="2"/>
  <c r="H35" i="2"/>
  <c r="H41" i="2"/>
  <c r="G41" i="2"/>
  <c r="G35" i="2"/>
  <c r="F40" i="2"/>
  <c r="T7" i="2" l="1"/>
  <c r="T3" i="2"/>
  <c r="J37" i="2"/>
  <c r="J40" i="2"/>
  <c r="J41" i="2"/>
  <c r="J42" i="2" s="1"/>
  <c r="J38" i="2"/>
  <c r="J39" i="2"/>
  <c r="J36" i="2"/>
  <c r="H25" i="2"/>
  <c r="J25" i="2"/>
  <c r="G25" i="2"/>
  <c r="H42" i="2"/>
  <c r="I35" i="2"/>
  <c r="K25" i="2"/>
  <c r="G42" i="2"/>
  <c r="T10" i="2" l="1"/>
  <c r="T8" i="2"/>
  <c r="K40" i="2"/>
  <c r="K41" i="2"/>
  <c r="K38" i="2"/>
  <c r="K37" i="2"/>
  <c r="K39" i="2"/>
  <c r="K36" i="2"/>
  <c r="L35" i="2"/>
  <c r="K35" i="2"/>
  <c r="I41" i="2"/>
  <c r="I42" i="2" s="1"/>
  <c r="I37" i="2"/>
  <c r="I39" i="2"/>
  <c r="I36" i="2"/>
  <c r="I38" i="2"/>
  <c r="I40" i="2"/>
  <c r="I25" i="2"/>
  <c r="T12" i="2" l="1"/>
  <c r="T13" i="2" s="1"/>
  <c r="T15" i="2" s="1"/>
  <c r="K42" i="2"/>
  <c r="L38" i="2"/>
  <c r="L40" i="2"/>
  <c r="L41" i="2"/>
  <c r="L42" i="2" s="1"/>
  <c r="L37" i="2"/>
  <c r="L39" i="2"/>
  <c r="L36" i="2"/>
  <c r="O37" i="2"/>
  <c r="O36" i="2"/>
  <c r="O35" i="2"/>
  <c r="O41" i="2"/>
  <c r="L25" i="2"/>
  <c r="O25" i="2"/>
  <c r="P41" i="2" l="1"/>
  <c r="P37" i="2"/>
  <c r="P36" i="2"/>
  <c r="P35" i="2"/>
  <c r="M40" i="2"/>
  <c r="M41" i="2"/>
  <c r="P49" i="2"/>
  <c r="P58" i="2" s="1"/>
  <c r="M37" i="2"/>
  <c r="M38" i="2"/>
  <c r="M39" i="2"/>
  <c r="M36" i="2"/>
  <c r="O42" i="2"/>
  <c r="O40" i="2"/>
  <c r="M25" i="2"/>
  <c r="M35" i="2"/>
  <c r="P25" i="2"/>
  <c r="P48" i="2"/>
  <c r="P57" i="2" s="1"/>
  <c r="S10" i="2" l="1"/>
  <c r="M42" i="2"/>
  <c r="P42" i="2"/>
  <c r="P40" i="2"/>
  <c r="S12" i="2" l="1"/>
  <c r="S13" i="2" s="1"/>
  <c r="S15" i="2" s="1"/>
  <c r="P50" i="2"/>
  <c r="P59" i="2" s="1"/>
  <c r="P53" i="2" l="1"/>
  <c r="P52" i="2"/>
  <c r="P54" i="2" l="1"/>
  <c r="P60" i="2" l="1"/>
  <c r="P56" i="2"/>
  <c r="E2" i="2" l="1"/>
  <c r="D2" i="2"/>
  <c r="C2" i="2"/>
  <c r="C39" i="2" s="1"/>
  <c r="B2" i="2"/>
  <c r="C25" i="2"/>
  <c r="N3" i="2"/>
  <c r="B39" i="2" l="1"/>
  <c r="B25" i="2"/>
  <c r="D39" i="2"/>
  <c r="D25" i="2"/>
  <c r="E39" i="2"/>
  <c r="E25" i="2"/>
  <c r="N35" i="2" l="1"/>
  <c r="N25" i="2"/>
  <c r="N36" i="2"/>
  <c r="N37" i="2"/>
  <c r="N41" i="2"/>
  <c r="N40" i="2" l="1"/>
  <c r="N42" i="2"/>
  <c r="A30" i="2"/>
</calcChain>
</file>

<file path=xl/sharedStrings.xml><?xml version="1.0" encoding="utf-8"?>
<sst xmlns="http://schemas.openxmlformats.org/spreadsheetml/2006/main" count="103" uniqueCount="86">
  <si>
    <t>1Q25</t>
  </si>
  <si>
    <t>2Q25</t>
  </si>
  <si>
    <t>3Q25</t>
  </si>
  <si>
    <t>4Q25</t>
  </si>
  <si>
    <t>電子級</t>
  </si>
  <si>
    <t>高階</t>
  </si>
  <si>
    <t>LDK1</t>
  </si>
  <si>
    <t>LDK2</t>
  </si>
  <si>
    <t>低階</t>
  </si>
  <si>
    <t>工業級</t>
  </si>
  <si>
    <t>毛利率（％）(變動成本）</t>
  </si>
  <si>
    <t>毛利率（％）(推估）</t>
  </si>
  <si>
    <t>營收占比（％）</t>
  </si>
  <si>
    <t>營業毛利</t>
  </si>
  <si>
    <t>營業費用</t>
  </si>
  <si>
    <t>營業利益</t>
  </si>
  <si>
    <t>業外淨額</t>
  </si>
  <si>
    <t>稅前純益</t>
  </si>
  <si>
    <t>所得稅</t>
  </si>
  <si>
    <t>稅後純益</t>
  </si>
  <si>
    <t xml:space="preserve">資本額 </t>
  </si>
  <si>
    <t>EPS(元)</t>
  </si>
  <si>
    <t>毛利率(%)</t>
  </si>
  <si>
    <t>費用率(%)</t>
  </si>
  <si>
    <t>營利率(%)</t>
  </si>
  <si>
    <t>淨利率(%)</t>
  </si>
  <si>
    <t>1Q26</t>
    <phoneticPr fontId="5" type="noConversion"/>
  </si>
  <si>
    <t>2Q26</t>
    <phoneticPr fontId="5" type="noConversion"/>
  </si>
  <si>
    <t>3Q26</t>
    <phoneticPr fontId="5" type="noConversion"/>
  </si>
  <si>
    <t>4Q26</t>
    <phoneticPr fontId="5" type="noConversion"/>
  </si>
  <si>
    <t>T Glass</t>
    <phoneticPr fontId="5" type="noConversion"/>
  </si>
  <si>
    <t>1Q27</t>
    <phoneticPr fontId="5" type="noConversion"/>
  </si>
  <si>
    <t>2Q27</t>
    <phoneticPr fontId="5" type="noConversion"/>
  </si>
  <si>
    <t>3Q27</t>
    <phoneticPr fontId="5" type="noConversion"/>
  </si>
  <si>
    <t>4Q27</t>
    <phoneticPr fontId="5" type="noConversion"/>
  </si>
  <si>
    <t>2026F</t>
    <phoneticPr fontId="5" type="noConversion"/>
  </si>
  <si>
    <t>2027F</t>
    <phoneticPr fontId="5" type="noConversion"/>
  </si>
  <si>
    <r>
      <t>Q</t>
    </r>
    <r>
      <rPr>
        <sz val="11"/>
        <color rgb="FFFFFFFF"/>
        <rFont val="Microsoft JhengHei"/>
        <family val="2"/>
      </rPr>
      <t>布</t>
    </r>
    <phoneticPr fontId="5" type="noConversion"/>
  </si>
  <si>
    <r>
      <t>Q</t>
    </r>
    <r>
      <rPr>
        <sz val="11"/>
        <color rgb="FFFFFFFF"/>
        <rFont val="Microsoft JhengHei"/>
        <family val="2"/>
      </rPr>
      <t>砂</t>
    </r>
    <phoneticPr fontId="5" type="noConversion"/>
  </si>
  <si>
    <t>PCB update_YC_20260225</t>
  </si>
  <si>
    <t>自用</t>
  </si>
  <si>
    <r>
      <t xml:space="preserve">1. </t>
    </r>
    <r>
      <rPr>
        <sz val="10"/>
        <color rgb="FF000000"/>
        <rFont val="Arial"/>
        <family val="3"/>
        <charset val="136"/>
        <scheme val="minor"/>
      </rPr>
      <t>德宏正在等跟台光簽拉貨合約，現在允諾台光產能</t>
    </r>
    <r>
      <rPr>
        <sz val="10"/>
        <color rgb="FF000000"/>
        <rFont val="Arial"/>
        <family val="2"/>
        <scheme val="minor"/>
      </rPr>
      <t>50</t>
    </r>
    <r>
      <rPr>
        <sz val="10"/>
        <color rgb="FF000000"/>
        <rFont val="Arial"/>
        <family val="3"/>
        <charset val="136"/>
        <scheme val="minor"/>
      </rPr>
      <t>萬米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36"/>
        <scheme val="minor"/>
      </rPr>
      <t>月；德宏有出紗過去</t>
    </r>
    <r>
      <rPr>
        <sz val="10"/>
        <color rgb="FF000000"/>
        <rFont val="Arial"/>
        <family val="2"/>
        <scheme val="minor"/>
      </rPr>
      <t>Asahi</t>
    </r>
    <r>
      <rPr>
        <sz val="10"/>
        <color rgb="FF000000"/>
        <rFont val="Arial"/>
        <family val="3"/>
        <charset val="136"/>
        <scheme val="minor"/>
      </rPr>
      <t>約當</t>
    </r>
    <r>
      <rPr>
        <sz val="10"/>
        <color rgb="FF000000"/>
        <rFont val="Arial"/>
        <family val="2"/>
        <scheme val="minor"/>
      </rPr>
      <t>20-25</t>
    </r>
    <r>
      <rPr>
        <sz val="10"/>
        <color rgb="FF000000"/>
        <rFont val="Arial"/>
        <family val="3"/>
        <charset val="136"/>
        <scheme val="minor"/>
      </rPr>
      <t>萬米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36"/>
        <scheme val="minor"/>
      </rPr>
      <t>月。</t>
    </r>
  </si>
  <si>
    <r>
      <t xml:space="preserve">2. </t>
    </r>
    <r>
      <rPr>
        <sz val="10"/>
        <color rgb="FF000000"/>
        <rFont val="Arial"/>
        <family val="3"/>
        <charset val="136"/>
        <scheme val="minor"/>
      </rPr>
      <t>石英</t>
    </r>
    <r>
      <rPr>
        <sz val="10"/>
        <color rgb="FF000000"/>
        <rFont val="Arial"/>
        <family val="2"/>
        <scheme val="minor"/>
      </rPr>
      <t>2026</t>
    </r>
    <r>
      <rPr>
        <sz val="10"/>
        <color rgb="FF000000"/>
        <rFont val="Arial"/>
        <family val="3"/>
        <charset val="136"/>
        <scheme val="minor"/>
      </rPr>
      <t>終端沒需求但台光會先拉貨備貨。等缺料大家都拿不到貨，終端都只能找台光。</t>
    </r>
  </si>
  <si>
    <r>
      <t xml:space="preserve">3. </t>
    </r>
    <r>
      <rPr>
        <sz val="10"/>
        <color rgb="FF000000"/>
        <rFont val="Arial"/>
        <family val="3"/>
        <charset val="136"/>
        <scheme val="minor"/>
      </rPr>
      <t>假定</t>
    </r>
    <r>
      <rPr>
        <sz val="10"/>
        <color rgb="FF000000"/>
        <rFont val="Arial"/>
        <family val="2"/>
        <scheme val="minor"/>
      </rPr>
      <t>2Q26</t>
    </r>
    <r>
      <rPr>
        <sz val="10"/>
        <color rgb="FF000000"/>
        <rFont val="Arial"/>
        <family val="3"/>
        <charset val="136"/>
        <scheme val="minor"/>
      </rPr>
      <t>簽約，</t>
    </r>
    <r>
      <rPr>
        <sz val="10"/>
        <color rgb="FF000000"/>
        <rFont val="Arial"/>
        <family val="2"/>
        <scheme val="minor"/>
      </rPr>
      <t>3Q26</t>
    </r>
    <r>
      <rPr>
        <sz val="10"/>
        <color rgb="FF000000"/>
        <rFont val="Arial"/>
        <family val="3"/>
        <charset val="136"/>
        <scheme val="minor"/>
      </rPr>
      <t>開始交貨，</t>
    </r>
    <r>
      <rPr>
        <sz val="10"/>
        <color rgb="FF000000"/>
        <rFont val="Arial"/>
        <family val="2"/>
        <scheme val="minor"/>
      </rPr>
      <t>2026</t>
    </r>
    <r>
      <rPr>
        <sz val="10"/>
        <color rgb="FF000000"/>
        <rFont val="Arial"/>
        <family val="3"/>
        <charset val="136"/>
        <scheme val="minor"/>
      </rPr>
      <t>均量</t>
    </r>
    <r>
      <rPr>
        <sz val="10"/>
        <color rgb="FF000000"/>
        <rFont val="Arial"/>
        <family val="2"/>
        <scheme val="minor"/>
      </rPr>
      <t xml:space="preserve">: </t>
    </r>
    <r>
      <rPr>
        <sz val="10"/>
        <color rgb="FF000000"/>
        <rFont val="Arial"/>
        <family val="3"/>
        <charset val="136"/>
        <scheme val="minor"/>
      </rPr>
      <t>現在良率</t>
    </r>
    <r>
      <rPr>
        <sz val="10"/>
        <color rgb="FF000000"/>
        <rFont val="Arial"/>
        <family val="2"/>
        <scheme val="minor"/>
      </rPr>
      <t>50%</t>
    </r>
    <r>
      <rPr>
        <sz val="10"/>
        <color rgb="FF000000"/>
        <rFont val="Arial"/>
        <family val="3"/>
        <charset val="136"/>
        <scheme val="minor"/>
      </rPr>
      <t>，現在單月產能</t>
    </r>
    <r>
      <rPr>
        <sz val="10"/>
        <color rgb="FF000000"/>
        <rFont val="Arial"/>
        <family val="2"/>
        <scheme val="minor"/>
      </rPr>
      <t>50</t>
    </r>
    <r>
      <rPr>
        <sz val="10"/>
        <color rgb="FF000000"/>
        <rFont val="Arial"/>
        <family val="3"/>
        <charset val="136"/>
        <scheme val="minor"/>
      </rPr>
      <t>萬米，考量良率約當就是一個月交</t>
    </r>
    <r>
      <rPr>
        <sz val="10"/>
        <color rgb="FF000000"/>
        <rFont val="Arial"/>
        <family val="2"/>
        <scheme val="minor"/>
      </rPr>
      <t>25</t>
    </r>
    <r>
      <rPr>
        <sz val="10"/>
        <color rgb="FF000000"/>
        <rFont val="Arial"/>
        <family val="3"/>
        <charset val="136"/>
        <scheme val="minor"/>
      </rPr>
      <t>萬米給台光。</t>
    </r>
  </si>
  <si>
    <r>
      <t xml:space="preserve">4. </t>
    </r>
    <r>
      <rPr>
        <sz val="10"/>
        <color rgb="FF000000"/>
        <rFont val="Arial"/>
        <family val="3"/>
        <charset val="136"/>
        <scheme val="minor"/>
      </rPr>
      <t>台燿還在驗，南亞在驗但也沒量，因為終端是找台光。</t>
    </r>
  </si>
  <si>
    <r>
      <t>5. Q glass GM 55%</t>
    </r>
    <r>
      <rPr>
        <sz val="10"/>
        <color rgb="FF000000"/>
        <rFont val="Arial"/>
        <family val="3"/>
        <charset val="136"/>
        <scheme val="minor"/>
      </rPr>
      <t>，現有產能大概</t>
    </r>
    <r>
      <rPr>
        <sz val="10"/>
        <color rgb="FF000000"/>
        <rFont val="Arial"/>
        <family val="2"/>
        <scheme val="minor"/>
      </rPr>
      <t xml:space="preserve">2026 </t>
    </r>
    <r>
      <rPr>
        <sz val="10"/>
        <color rgb="FF000000"/>
        <rFont val="Arial"/>
        <family val="3"/>
        <charset val="136"/>
        <scheme val="minor"/>
      </rPr>
      <t>一年</t>
    </r>
    <r>
      <rPr>
        <sz val="10"/>
        <color rgb="FF000000"/>
        <rFont val="Arial"/>
        <family val="2"/>
        <scheme val="minor"/>
      </rPr>
      <t>6</t>
    </r>
    <r>
      <rPr>
        <sz val="10"/>
        <color rgb="FF000000"/>
        <rFont val="Arial"/>
        <family val="3"/>
        <charset val="136"/>
        <scheme val="minor"/>
      </rPr>
      <t>塊錢。</t>
    </r>
    <r>
      <rPr>
        <sz val="10"/>
        <color rgb="FF000000"/>
        <rFont val="Arial"/>
        <family val="2"/>
        <scheme val="minor"/>
      </rPr>
      <t xml:space="preserve">1H26 </t>
    </r>
    <r>
      <rPr>
        <sz val="10"/>
        <color rgb="FF000000"/>
        <rFont val="Arial"/>
        <family val="3"/>
        <charset val="136"/>
        <scheme val="minor"/>
      </rPr>
      <t>損平上下，</t>
    </r>
    <r>
      <rPr>
        <sz val="10"/>
        <color rgb="FF000000"/>
        <rFont val="Arial"/>
        <family val="2"/>
        <scheme val="minor"/>
      </rPr>
      <t>2H26 Q-glass</t>
    </r>
    <r>
      <rPr>
        <sz val="10"/>
        <color rgb="FF000000"/>
        <rFont val="Arial"/>
        <family val="3"/>
        <charset val="136"/>
        <scheme val="minor"/>
      </rPr>
      <t>貢獻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3"/>
        <charset val="136"/>
        <scheme val="minor"/>
      </rPr>
      <t>塊多。</t>
    </r>
  </si>
  <si>
    <r>
      <t>6. Q</t>
    </r>
    <r>
      <rPr>
        <sz val="10"/>
        <color rgb="FF000000"/>
        <rFont val="Arial"/>
        <family val="3"/>
        <charset val="136"/>
        <scheme val="minor"/>
      </rPr>
      <t>紗約當一噸</t>
    </r>
    <r>
      <rPr>
        <sz val="10"/>
        <color rgb="FF000000"/>
        <rFont val="Arial"/>
        <family val="2"/>
        <scheme val="minor"/>
      </rPr>
      <t>290</t>
    </r>
    <r>
      <rPr>
        <sz val="10"/>
        <color rgb="FF000000"/>
        <rFont val="Arial"/>
        <family val="3"/>
        <charset val="136"/>
        <scheme val="minor"/>
      </rPr>
      <t>美金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36"/>
        <scheme val="minor"/>
      </rPr>
      <t>現在報</t>
    </r>
    <r>
      <rPr>
        <sz val="10"/>
        <color rgb="FF000000"/>
        <rFont val="Arial"/>
        <family val="2"/>
        <scheme val="minor"/>
      </rPr>
      <t>2000</t>
    </r>
    <r>
      <rPr>
        <sz val="10"/>
        <color rgb="FF000000"/>
        <rFont val="Arial"/>
        <family val="3"/>
        <charset val="136"/>
        <scheme val="minor"/>
      </rPr>
      <t>人民幣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36"/>
        <scheme val="minor"/>
      </rPr>
      <t>噸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36"/>
        <scheme val="minor"/>
      </rPr>
      <t>。</t>
    </r>
  </si>
  <si>
    <r>
      <t>7. 2h26 Q-glass</t>
    </r>
    <r>
      <rPr>
        <sz val="10"/>
        <color rgb="FF000000"/>
        <rFont val="Arial"/>
        <family val="3"/>
        <charset val="136"/>
        <scheme val="minor"/>
      </rPr>
      <t>一季</t>
    </r>
    <r>
      <rPr>
        <sz val="10"/>
        <color rgb="FF000000"/>
        <rFont val="Arial"/>
        <family val="2"/>
        <scheme val="minor"/>
      </rPr>
      <t>10-11e</t>
    </r>
    <r>
      <rPr>
        <sz val="10"/>
        <color rgb="FF000000"/>
        <rFont val="Arial"/>
        <family val="3"/>
        <charset val="136"/>
        <scheme val="minor"/>
      </rPr>
      <t>，</t>
    </r>
    <r>
      <rPr>
        <sz val="10"/>
        <color rgb="FF000000"/>
        <rFont val="Arial"/>
        <family val="2"/>
        <scheme val="minor"/>
      </rPr>
      <t>Q</t>
    </r>
    <r>
      <rPr>
        <sz val="10"/>
        <color rgb="FF000000"/>
        <rFont val="Arial"/>
        <family val="3"/>
        <charset val="136"/>
        <scheme val="minor"/>
      </rPr>
      <t>紗</t>
    </r>
    <r>
      <rPr>
        <sz val="10"/>
        <color rgb="FF000000"/>
        <rFont val="Arial"/>
        <family val="2"/>
        <scheme val="minor"/>
      </rPr>
      <t xml:space="preserve"> 7500~8000w/</t>
    </r>
    <r>
      <rPr>
        <sz val="10"/>
        <color rgb="FF000000"/>
        <rFont val="Arial"/>
        <family val="3"/>
        <charset val="136"/>
        <scheme val="minor"/>
      </rPr>
      <t>季。</t>
    </r>
  </si>
  <si>
    <r>
      <t>8. 2027</t>
    </r>
    <r>
      <rPr>
        <sz val="10"/>
        <color rgb="FF000000"/>
        <rFont val="Arial"/>
        <family val="3"/>
        <charset val="136"/>
        <scheme val="minor"/>
      </rPr>
      <t>年要擴到</t>
    </r>
    <r>
      <rPr>
        <sz val="10"/>
        <color rgb="FF000000"/>
        <rFont val="Arial"/>
        <family val="2"/>
        <scheme val="minor"/>
      </rPr>
      <t>100</t>
    </r>
    <r>
      <rPr>
        <sz val="10"/>
        <color rgb="FF000000"/>
        <rFont val="Arial"/>
        <family val="3"/>
        <charset val="136"/>
        <scheme val="minor"/>
      </rPr>
      <t>萬米，逐季開，</t>
    </r>
    <r>
      <rPr>
        <sz val="10"/>
        <color rgb="FF000000"/>
        <rFont val="Arial"/>
        <family val="2"/>
        <scheme val="minor"/>
      </rPr>
      <t>1Q27 60</t>
    </r>
    <r>
      <rPr>
        <sz val="10"/>
        <color rgb="FF000000"/>
        <rFont val="Arial"/>
        <family val="3"/>
        <charset val="136"/>
        <scheme val="minor"/>
      </rPr>
      <t>萬米</t>
    </r>
    <r>
      <rPr>
        <sz val="10"/>
        <color rgb="FF000000"/>
        <rFont val="Arial"/>
        <family val="2"/>
        <scheme val="minor"/>
      </rPr>
      <t>/2Q27 75</t>
    </r>
    <r>
      <rPr>
        <sz val="10"/>
        <color rgb="FF000000"/>
        <rFont val="Arial"/>
        <family val="3"/>
        <charset val="136"/>
        <scheme val="minor"/>
      </rPr>
      <t>萬米，</t>
    </r>
    <r>
      <rPr>
        <sz val="10"/>
        <color rgb="FF000000"/>
        <rFont val="Arial"/>
        <family val="2"/>
        <scheme val="minor"/>
      </rPr>
      <t>4Q27</t>
    </r>
    <r>
      <rPr>
        <sz val="10"/>
        <color rgb="FF000000"/>
        <rFont val="Arial"/>
        <family val="3"/>
        <charset val="136"/>
        <scheme val="minor"/>
      </rPr>
      <t>才達到</t>
    </r>
    <r>
      <rPr>
        <sz val="10"/>
        <color rgb="FF000000"/>
        <rFont val="Arial"/>
        <family val="2"/>
        <scheme val="minor"/>
      </rPr>
      <t>100</t>
    </r>
    <r>
      <rPr>
        <sz val="10"/>
        <color rgb="FF000000"/>
        <rFont val="Arial"/>
        <family val="3"/>
        <charset val="136"/>
        <scheme val="minor"/>
      </rPr>
      <t>萬米。一樣用良率</t>
    </r>
    <r>
      <rPr>
        <sz val="10"/>
        <color rgb="FF000000"/>
        <rFont val="Arial"/>
        <family val="2"/>
        <scheme val="minor"/>
      </rPr>
      <t>50%</t>
    </r>
    <r>
      <rPr>
        <sz val="10"/>
        <color rgb="FF000000"/>
        <rFont val="Arial"/>
        <family val="3"/>
        <charset val="136"/>
        <scheme val="minor"/>
      </rPr>
      <t>抓，</t>
    </r>
    <r>
      <rPr>
        <sz val="10"/>
        <color rgb="FF000000"/>
        <rFont val="Arial"/>
        <family val="2"/>
        <scheme val="minor"/>
      </rPr>
      <t>2027 EPS 21</t>
    </r>
    <r>
      <rPr>
        <sz val="10"/>
        <color rgb="FF000000"/>
        <rFont val="Arial"/>
        <family val="3"/>
        <charset val="136"/>
        <scheme val="minor"/>
      </rPr>
      <t>，但抓滿可以抓到</t>
    </r>
    <r>
      <rPr>
        <sz val="10"/>
        <color rgb="FF000000"/>
        <rFont val="Arial"/>
        <family val="2"/>
        <scheme val="minor"/>
      </rPr>
      <t>30</t>
    </r>
    <r>
      <rPr>
        <sz val="10"/>
        <color rgb="FF000000"/>
        <rFont val="Arial"/>
        <family val="3"/>
        <charset val="136"/>
        <scheme val="minor"/>
      </rPr>
      <t>。</t>
    </r>
  </si>
  <si>
    <r>
      <t xml:space="preserve">9. </t>
    </r>
    <r>
      <rPr>
        <sz val="10"/>
        <color rgb="FF000000"/>
        <rFont val="Arial"/>
        <family val="3"/>
        <charset val="136"/>
        <scheme val="minor"/>
      </rPr>
      <t>狀況很像金居，都是台光要扶植。台光中國區域會拿菲力華，他量很大，但不能出口到台灣；所以台光台灣廠區就只能拿日本兩家</t>
    </r>
    <r>
      <rPr>
        <sz val="10"/>
        <color rgb="FF000000"/>
        <rFont val="Arial"/>
        <family val="2"/>
        <scheme val="minor"/>
      </rPr>
      <t>+</t>
    </r>
    <r>
      <rPr>
        <sz val="10"/>
        <color rgb="FF000000"/>
        <rFont val="Arial"/>
        <family val="3"/>
        <charset val="136"/>
        <scheme val="minor"/>
      </rPr>
      <t>德宏。日本兩家擴廠意願不高，</t>
    </r>
    <r>
      <rPr>
        <sz val="10"/>
        <color rgb="FF000000"/>
        <rFont val="Arial"/>
        <family val="2"/>
        <scheme val="minor"/>
      </rPr>
      <t>Asahi</t>
    </r>
    <r>
      <rPr>
        <sz val="10"/>
        <color rgb="FF000000"/>
        <rFont val="Arial"/>
        <family val="3"/>
        <charset val="136"/>
        <scheme val="minor"/>
      </rPr>
      <t>比較想好好做</t>
    </r>
    <r>
      <rPr>
        <sz val="10"/>
        <color rgb="FF000000"/>
        <rFont val="Arial"/>
        <family val="2"/>
        <scheme val="minor"/>
      </rPr>
      <t>T glass</t>
    </r>
    <r>
      <rPr>
        <sz val="10"/>
        <color rgb="FF000000"/>
        <rFont val="Arial"/>
        <family val="3"/>
        <charset val="136"/>
        <scheme val="minor"/>
      </rPr>
      <t>因為他是三供，昭和、</t>
    </r>
    <r>
      <rPr>
        <sz val="10"/>
        <color rgb="FF000000"/>
        <rFont val="Arial"/>
        <family val="2"/>
        <scheme val="minor"/>
      </rPr>
      <t>MGC</t>
    </r>
    <r>
      <rPr>
        <sz val="10"/>
        <color rgb="FF000000"/>
        <rFont val="Arial"/>
        <family val="3"/>
        <charset val="136"/>
        <scheme val="minor"/>
      </rPr>
      <t>都在找他，一定會優先處理。石英布放量又要</t>
    </r>
    <r>
      <rPr>
        <sz val="10"/>
        <color rgb="FF000000"/>
        <rFont val="Arial"/>
        <family val="2"/>
        <scheme val="minor"/>
      </rPr>
      <t>2028</t>
    </r>
    <r>
      <rPr>
        <sz val="10"/>
        <color rgb="FF000000"/>
        <rFont val="Arial"/>
        <family val="3"/>
        <charset val="136"/>
        <scheme val="minor"/>
      </rPr>
      <t>，先後順序沒那麼急。</t>
    </r>
  </si>
  <si>
    <r>
      <t xml:space="preserve">10. </t>
    </r>
    <r>
      <rPr>
        <sz val="10"/>
        <color rgb="FF000000"/>
        <rFont val="Arial"/>
        <family val="3"/>
        <charset val="136"/>
        <scheme val="minor"/>
      </rPr>
      <t>扶植德宏是肯定的，明確跨過就會積極拉貨。台光因為</t>
    </r>
    <r>
      <rPr>
        <sz val="10"/>
        <color rgb="FF000000"/>
        <rFont val="Arial"/>
        <family val="2"/>
        <scheme val="minor"/>
      </rPr>
      <t>OOC</t>
    </r>
    <r>
      <rPr>
        <sz val="10"/>
        <color rgb="FF000000"/>
        <rFont val="Arial"/>
        <family val="3"/>
        <charset val="136"/>
        <scheme val="minor"/>
      </rPr>
      <t>不可能全仰賴日系，所以甚至馬來西亞廠區也會拉德宏的料。</t>
    </r>
  </si>
  <si>
    <r>
      <t xml:space="preserve">11. </t>
    </r>
    <r>
      <rPr>
        <sz val="10"/>
        <color theme="1"/>
        <rFont val="Arial"/>
        <family val="3"/>
        <charset val="136"/>
        <scheme val="minor"/>
      </rPr>
      <t>有聽說</t>
    </r>
    <r>
      <rPr>
        <sz val="10"/>
        <color theme="1"/>
        <rFont val="Arial"/>
        <family val="2"/>
        <scheme val="minor"/>
      </rPr>
      <t>LPU</t>
    </r>
    <r>
      <rPr>
        <sz val="10"/>
        <color theme="1"/>
        <rFont val="Arial"/>
        <family val="3"/>
        <charset val="136"/>
        <scheme val="minor"/>
      </rPr>
      <t>會用石英布</t>
    </r>
    <r>
      <rPr>
        <sz val="10"/>
        <color theme="1"/>
        <rFont val="Arial"/>
        <family val="2"/>
        <scheme val="minor"/>
      </rPr>
      <t>(for Groq)</t>
    </r>
    <r>
      <rPr>
        <sz val="10"/>
        <color theme="1"/>
        <rFont val="Arial"/>
        <family val="3"/>
        <charset val="136"/>
        <scheme val="minor"/>
      </rPr>
      <t>，</t>
    </r>
    <r>
      <rPr>
        <sz val="10"/>
        <color theme="1"/>
        <rFont val="Arial"/>
        <family val="2"/>
        <scheme val="minor"/>
      </rPr>
      <t>GTC</t>
    </r>
    <r>
      <rPr>
        <sz val="10"/>
        <color theme="1"/>
        <rFont val="Arial"/>
        <family val="3"/>
        <charset val="136"/>
        <scheme val="minor"/>
      </rPr>
      <t>可能會展。台光會直接推</t>
    </r>
    <r>
      <rPr>
        <sz val="10"/>
        <color theme="1"/>
        <rFont val="Arial"/>
        <family val="2"/>
        <scheme val="minor"/>
      </rPr>
      <t>m10</t>
    </r>
    <r>
      <rPr>
        <sz val="10"/>
        <color theme="1"/>
        <rFont val="Arial"/>
        <family val="3"/>
        <charset val="136"/>
        <scheme val="minor"/>
      </rPr>
      <t>，實際配方還不知道，只說一定上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Arial"/>
        <family val="3"/>
        <charset val="136"/>
        <scheme val="minor"/>
      </rPr>
      <t>。</t>
    </r>
  </si>
  <si>
    <r>
      <t xml:space="preserve">12. </t>
    </r>
    <r>
      <rPr>
        <sz val="10"/>
        <color theme="1"/>
        <rFont val="Arial"/>
        <family val="3"/>
        <charset val="136"/>
        <scheme val="minor"/>
      </rPr>
      <t>台光還在做材料開發，最後用</t>
    </r>
    <r>
      <rPr>
        <sz val="10"/>
        <color theme="1"/>
        <rFont val="Arial"/>
        <family val="2"/>
        <scheme val="minor"/>
      </rPr>
      <t xml:space="preserve">Q1 vs Q2 depends on </t>
    </r>
    <r>
      <rPr>
        <sz val="10"/>
        <color theme="1"/>
        <rFont val="Arial"/>
        <family val="3"/>
        <charset val="136"/>
        <scheme val="minor"/>
      </rPr>
      <t>穩定性。會直接上</t>
    </r>
    <r>
      <rPr>
        <sz val="10"/>
        <color theme="1"/>
        <rFont val="Arial"/>
        <family val="2"/>
        <scheme val="minor"/>
      </rPr>
      <t>M10</t>
    </r>
    <r>
      <rPr>
        <sz val="10"/>
        <color theme="1"/>
        <rFont val="Arial"/>
        <family val="3"/>
        <charset val="136"/>
        <scheme val="minor"/>
      </rPr>
      <t>是因為</t>
    </r>
    <r>
      <rPr>
        <sz val="10"/>
        <color theme="1"/>
        <rFont val="Arial"/>
        <family val="2"/>
        <scheme val="minor"/>
      </rPr>
      <t>M9</t>
    </r>
    <r>
      <rPr>
        <sz val="10"/>
        <color theme="1"/>
        <rFont val="Arial"/>
        <family val="3"/>
        <charset val="136"/>
        <scheme val="minor"/>
      </rPr>
      <t>在正交背板就打不上去了，所以會同時備貨</t>
    </r>
    <r>
      <rPr>
        <sz val="10"/>
        <color theme="1"/>
        <rFont val="Arial"/>
        <family val="2"/>
        <scheme val="minor"/>
      </rPr>
      <t>Q glass</t>
    </r>
    <r>
      <rPr>
        <sz val="10"/>
        <color theme="1"/>
        <rFont val="Arial"/>
        <family val="3"/>
        <charset val="136"/>
        <scheme val="minor"/>
      </rPr>
      <t>並</t>
    </r>
    <r>
      <rPr>
        <sz val="10"/>
        <color theme="1"/>
        <rFont val="Arial"/>
        <family val="2"/>
        <scheme val="minor"/>
      </rPr>
      <t>work on M10</t>
    </r>
    <r>
      <rPr>
        <sz val="10"/>
        <color theme="1"/>
        <rFont val="Arial"/>
        <family val="3"/>
        <charset val="136"/>
        <scheme val="minor"/>
      </rPr>
      <t>。也在觀察</t>
    </r>
    <r>
      <rPr>
        <sz val="10"/>
        <color theme="1"/>
        <rFont val="Arial"/>
        <family val="2"/>
        <scheme val="minor"/>
      </rPr>
      <t>NV</t>
    </r>
    <r>
      <rPr>
        <sz val="10"/>
        <color theme="1"/>
        <rFont val="Arial"/>
        <family val="3"/>
        <charset val="136"/>
        <scheme val="minor"/>
      </rPr>
      <t>會不會在</t>
    </r>
    <r>
      <rPr>
        <sz val="10"/>
        <color theme="1"/>
        <rFont val="Arial"/>
        <family val="2"/>
        <scheme val="minor"/>
      </rPr>
      <t>GTC</t>
    </r>
    <r>
      <rPr>
        <sz val="10"/>
        <color theme="1"/>
        <rFont val="Arial"/>
        <family val="3"/>
        <charset val="136"/>
        <scheme val="minor"/>
      </rPr>
      <t>放石英布。</t>
    </r>
  </si>
  <si>
    <r>
      <t xml:space="preserve">13. Q glass adoption? </t>
    </r>
    <r>
      <rPr>
        <sz val="10"/>
        <color theme="1"/>
        <rFont val="Arial"/>
        <family val="3"/>
        <charset val="136"/>
        <scheme val="minor"/>
      </rPr>
      <t>現在只有</t>
    </r>
    <r>
      <rPr>
        <sz val="10"/>
        <color theme="1"/>
        <rFont val="Arial"/>
        <family val="2"/>
        <scheme val="minor"/>
      </rPr>
      <t>midplane</t>
    </r>
    <r>
      <rPr>
        <sz val="10"/>
        <color theme="1"/>
        <rFont val="Arial"/>
        <family val="3"/>
        <charset val="136"/>
        <scheme val="minor"/>
      </rPr>
      <t>，</t>
    </r>
    <r>
      <rPr>
        <sz val="10"/>
        <color theme="1"/>
        <rFont val="Arial"/>
        <family val="2"/>
        <scheme val="minor"/>
      </rPr>
      <t>CPX</t>
    </r>
    <r>
      <rPr>
        <sz val="10"/>
        <color theme="1"/>
        <rFont val="Arial"/>
        <family val="3"/>
        <charset val="136"/>
        <scheme val="minor"/>
      </rPr>
      <t>又</t>
    </r>
    <r>
      <rPr>
        <sz val="10"/>
        <color theme="1"/>
        <rFont val="Arial"/>
        <family val="2"/>
        <scheme val="minor"/>
      </rPr>
      <t>delay</t>
    </r>
    <r>
      <rPr>
        <sz val="10"/>
        <color theme="1"/>
        <rFont val="Arial"/>
        <family val="3"/>
        <charset val="136"/>
        <scheme val="minor"/>
      </rPr>
      <t>。</t>
    </r>
    <r>
      <rPr>
        <sz val="10"/>
        <color theme="1"/>
        <rFont val="Arial"/>
        <family val="2"/>
        <scheme val="minor"/>
      </rPr>
      <t>TPU v9 in 2027(potential adoption)</t>
    </r>
    <r>
      <rPr>
        <sz val="10"/>
        <color theme="1"/>
        <rFont val="Arial"/>
        <family val="3"/>
        <charset val="136"/>
        <scheme val="minor"/>
      </rPr>
      <t>，現在還是頂多到</t>
    </r>
    <r>
      <rPr>
        <sz val="10"/>
        <color theme="1"/>
        <rFont val="Arial"/>
        <family val="2"/>
        <scheme val="minor"/>
      </rPr>
      <t>low DK</t>
    </r>
    <r>
      <rPr>
        <sz val="10"/>
        <color theme="1"/>
        <rFont val="Arial"/>
        <family val="3"/>
        <charset val="136"/>
        <scheme val="minor"/>
      </rPr>
      <t>二代布。因為良率，不可能直接貿然全上</t>
    </r>
    <r>
      <rPr>
        <sz val="10"/>
        <color theme="1"/>
        <rFont val="Arial"/>
        <family val="2"/>
        <scheme val="minor"/>
      </rPr>
      <t>Q</t>
    </r>
    <r>
      <rPr>
        <sz val="10"/>
        <color theme="1"/>
        <rFont val="Arial"/>
        <family val="3"/>
        <charset val="136"/>
        <scheme val="minor"/>
      </rPr>
      <t>，</t>
    </r>
    <r>
      <rPr>
        <sz val="10"/>
        <color theme="1"/>
        <rFont val="Arial"/>
        <family val="2"/>
        <scheme val="minor"/>
      </rPr>
      <t>2026</t>
    </r>
    <r>
      <rPr>
        <sz val="10"/>
        <color theme="1"/>
        <rFont val="Arial"/>
        <family val="3"/>
        <charset val="136"/>
        <scheme val="minor"/>
      </rPr>
      <t>還是二代支撐。</t>
    </r>
  </si>
  <si>
    <r>
      <t xml:space="preserve">14. </t>
    </r>
    <r>
      <rPr>
        <sz val="10"/>
        <color theme="1"/>
        <rFont val="Arial"/>
        <family val="3"/>
        <charset val="136"/>
        <scheme val="minor"/>
      </rPr>
      <t>目前怎麼看</t>
    </r>
    <r>
      <rPr>
        <sz val="10"/>
        <color theme="1"/>
        <rFont val="Arial"/>
        <family val="2"/>
        <scheme val="minor"/>
      </rPr>
      <t>low dk</t>
    </r>
    <r>
      <rPr>
        <sz val="10"/>
        <color theme="1"/>
        <rFont val="Arial"/>
        <family val="3"/>
        <charset val="136"/>
        <scheme val="minor"/>
      </rPr>
      <t>漲價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Arial"/>
        <family val="3"/>
        <charset val="136"/>
        <scheme val="minor"/>
      </rPr>
      <t>日本廠商對漲價的態度</t>
    </r>
    <r>
      <rPr>
        <sz val="10"/>
        <color theme="1"/>
        <rFont val="Arial"/>
        <family val="2"/>
        <scheme val="minor"/>
      </rPr>
      <t>?</t>
    </r>
    <r>
      <rPr>
        <sz val="10"/>
        <color theme="1"/>
        <rFont val="Arial"/>
        <family val="3"/>
        <charset val="136"/>
        <scheme val="minor"/>
      </rPr>
      <t>現在在漲的是</t>
    </r>
    <r>
      <rPr>
        <sz val="10"/>
        <color theme="1"/>
        <rFont val="Arial"/>
        <family val="2"/>
        <scheme val="minor"/>
      </rPr>
      <t>e glass</t>
    </r>
    <r>
      <rPr>
        <sz val="10"/>
        <color theme="1"/>
        <rFont val="Arial"/>
        <family val="3"/>
        <charset val="136"/>
        <scheme val="minor"/>
      </rPr>
      <t>，</t>
    </r>
    <r>
      <rPr>
        <sz val="10"/>
        <color theme="1"/>
        <rFont val="Arial"/>
        <family val="2"/>
        <scheme val="minor"/>
      </rPr>
      <t>low dk</t>
    </r>
    <r>
      <rPr>
        <sz val="10"/>
        <color theme="1"/>
        <rFont val="Arial"/>
        <family val="3"/>
        <charset val="136"/>
        <scheme val="minor"/>
      </rPr>
      <t>每年</t>
    </r>
    <r>
      <rPr>
        <sz val="10"/>
        <color theme="1"/>
        <rFont val="Arial"/>
        <family val="2"/>
        <scheme val="minor"/>
      </rPr>
      <t>avg</t>
    </r>
    <r>
      <rPr>
        <sz val="10"/>
        <color theme="1"/>
        <rFont val="Arial"/>
        <family val="3"/>
        <charset val="136"/>
        <scheme val="minor"/>
      </rPr>
      <t>都會有</t>
    </r>
    <r>
      <rPr>
        <sz val="10"/>
        <color theme="1"/>
        <rFont val="Arial"/>
        <family val="2"/>
        <scheme val="minor"/>
      </rPr>
      <t>10-20%</t>
    </r>
    <r>
      <rPr>
        <sz val="10"/>
        <color theme="1"/>
        <rFont val="Arial"/>
        <family val="3"/>
        <charset val="136"/>
        <scheme val="minor"/>
      </rPr>
      <t>漲幅，因為</t>
    </r>
    <r>
      <rPr>
        <sz val="10"/>
        <color theme="1"/>
        <rFont val="Arial"/>
        <family val="2"/>
        <scheme val="minor"/>
      </rPr>
      <t>low DK</t>
    </r>
    <r>
      <rPr>
        <sz val="10"/>
        <color theme="1"/>
        <rFont val="Arial"/>
        <family val="3"/>
        <charset val="136"/>
        <scheme val="minor"/>
      </rPr>
      <t>已經相對貴，</t>
    </r>
    <r>
      <rPr>
        <sz val="10"/>
        <color theme="1"/>
        <rFont val="Arial"/>
        <family val="2"/>
        <scheme val="minor"/>
      </rPr>
      <t>e glass</t>
    </r>
    <r>
      <rPr>
        <sz val="10"/>
        <color theme="1"/>
        <rFont val="Arial"/>
        <family val="3"/>
        <charset val="136"/>
        <scheme val="minor"/>
      </rPr>
      <t>漲幅會比較大。</t>
    </r>
  </si>
  <si>
    <r>
      <t>15. e glass</t>
    </r>
    <r>
      <rPr>
        <sz val="10"/>
        <color theme="1"/>
        <rFont val="Arial"/>
        <family val="3"/>
        <charset val="136"/>
        <scheme val="minor"/>
      </rPr>
      <t>每個月大概</t>
    </r>
    <r>
      <rPr>
        <sz val="10"/>
        <color theme="1"/>
        <rFont val="Arial"/>
        <family val="2"/>
        <scheme val="minor"/>
      </rPr>
      <t>10%</t>
    </r>
    <r>
      <rPr>
        <sz val="10"/>
        <color theme="1"/>
        <rFont val="Arial"/>
        <family val="3"/>
        <charset val="136"/>
        <scheme val="minor"/>
      </rPr>
      <t>，今年目標高階薄布要漲</t>
    </r>
    <r>
      <rPr>
        <sz val="10"/>
        <color theme="1"/>
        <rFont val="Arial"/>
        <family val="2"/>
        <scheme val="minor"/>
      </rPr>
      <t>100%</t>
    </r>
    <r>
      <rPr>
        <sz val="10"/>
        <color theme="1"/>
        <rFont val="Arial"/>
        <family val="3"/>
        <charset val="136"/>
        <scheme val="minor"/>
      </rPr>
      <t>。所以每個月都會調整。</t>
    </r>
  </si>
  <si>
    <r>
      <t xml:space="preserve">16. </t>
    </r>
    <r>
      <rPr>
        <sz val="10"/>
        <color theme="1"/>
        <rFont val="Arial"/>
        <family val="3"/>
        <charset val="136"/>
        <scheme val="minor"/>
      </rPr>
      <t>看二代布大家推出的狀況，</t>
    </r>
    <r>
      <rPr>
        <sz val="10"/>
        <color theme="1"/>
        <rFont val="Arial"/>
        <family val="2"/>
        <scheme val="minor"/>
      </rPr>
      <t>2H26</t>
    </r>
    <r>
      <rPr>
        <sz val="10"/>
        <color theme="1"/>
        <rFont val="Arial"/>
        <family val="3"/>
        <charset val="136"/>
        <scheme val="minor"/>
      </rPr>
      <t>一定缺，台廠一定會漲價。</t>
    </r>
    <r>
      <rPr>
        <sz val="10"/>
        <color theme="1"/>
        <rFont val="Arial"/>
        <family val="2"/>
        <scheme val="minor"/>
      </rPr>
      <t>1</t>
    </r>
    <r>
      <rPr>
        <sz val="10"/>
        <color theme="1"/>
        <rFont val="Arial"/>
        <family val="3"/>
        <charset val="136"/>
        <scheme val="minor"/>
      </rPr>
      <t>米</t>
    </r>
    <r>
      <rPr>
        <sz val="10"/>
        <color theme="1"/>
        <rFont val="Arial"/>
        <family val="2"/>
        <scheme val="minor"/>
      </rPr>
      <t>10</t>
    </r>
    <r>
      <rPr>
        <sz val="10"/>
        <color theme="1"/>
        <rFont val="Arial"/>
        <family val="3"/>
        <charset val="136"/>
        <scheme val="minor"/>
      </rPr>
      <t>塊美金可能再漲</t>
    </r>
    <r>
      <rPr>
        <sz val="10"/>
        <color theme="1"/>
        <rFont val="Arial"/>
        <family val="2"/>
        <scheme val="minor"/>
      </rPr>
      <t>10-20%</t>
    </r>
    <r>
      <rPr>
        <sz val="10"/>
        <color theme="1"/>
        <rFont val="Arial"/>
        <family val="3"/>
        <charset val="136"/>
        <scheme val="minor"/>
      </rPr>
      <t>。</t>
    </r>
  </si>
  <si>
    <r>
      <t xml:space="preserve">17. HVLP4 </t>
    </r>
    <r>
      <rPr>
        <sz val="10"/>
        <color theme="1"/>
        <rFont val="Arial"/>
        <family val="3"/>
        <charset val="136"/>
        <scheme val="minor"/>
      </rPr>
      <t>價格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Arial"/>
        <family val="3"/>
        <charset val="136"/>
        <scheme val="minor"/>
      </rPr>
      <t>金居</t>
    </r>
    <r>
      <rPr>
        <sz val="10"/>
        <color theme="1"/>
        <rFont val="Arial"/>
        <family val="2"/>
        <scheme val="minor"/>
      </rPr>
      <t>4Q25-1Q26</t>
    </r>
    <r>
      <rPr>
        <sz val="10"/>
        <color theme="1"/>
        <rFont val="Arial"/>
        <family val="3"/>
        <charset val="136"/>
        <scheme val="minor"/>
      </rPr>
      <t>都想漲，會延續嗎</t>
    </r>
    <r>
      <rPr>
        <sz val="10"/>
        <color theme="1"/>
        <rFont val="Arial"/>
        <family val="2"/>
        <scheme val="minor"/>
      </rPr>
      <t xml:space="preserve">? </t>
    </r>
    <r>
      <rPr>
        <sz val="10"/>
        <color theme="1"/>
        <rFont val="Arial"/>
        <family val="3"/>
        <charset val="136"/>
        <scheme val="minor"/>
      </rPr>
      <t>三井狀況</t>
    </r>
    <r>
      <rPr>
        <sz val="10"/>
        <color theme="1"/>
        <rFont val="Arial"/>
        <family val="2"/>
        <scheme val="minor"/>
      </rPr>
      <t xml:space="preserve">update? </t>
    </r>
    <r>
      <rPr>
        <sz val="10"/>
        <color theme="1"/>
        <rFont val="Arial"/>
        <family val="3"/>
        <charset val="136"/>
        <scheme val="minor"/>
      </rPr>
      <t>銅箔每個月都在漲，因為銅價在漲。高階加工費沒聽說有漲。三井這邊進度有點慢，</t>
    </r>
    <r>
      <rPr>
        <sz val="10"/>
        <color theme="1"/>
        <rFont val="Arial"/>
        <family val="2"/>
        <scheme val="minor"/>
      </rPr>
      <t xml:space="preserve">HVLP4 </t>
    </r>
    <r>
      <rPr>
        <sz val="10"/>
        <color theme="1"/>
        <rFont val="Arial"/>
        <family val="3"/>
        <charset val="136"/>
        <scheme val="minor"/>
      </rPr>
      <t>採用比預期晚很多，因為良率也不好</t>
    </r>
    <r>
      <rPr>
        <sz val="10"/>
        <color theme="1"/>
        <rFont val="Arial"/>
        <family val="2"/>
        <scheme val="minor"/>
      </rPr>
      <t>(60%)</t>
    </r>
    <r>
      <rPr>
        <sz val="10"/>
        <color theme="1"/>
        <rFont val="Arial"/>
        <family val="3"/>
        <charset val="136"/>
        <scheme val="minor"/>
      </rPr>
      <t>。</t>
    </r>
  </si>
  <si>
    <r>
      <t xml:space="preserve">18. </t>
    </r>
    <r>
      <rPr>
        <sz val="10"/>
        <color rgb="FF000000"/>
        <rFont val="Arial"/>
        <family val="3"/>
        <charset val="136"/>
        <scheme val="minor"/>
      </rPr>
      <t>三井法說表示產品轉換拉貨變緩</t>
    </r>
    <r>
      <rPr>
        <sz val="10"/>
        <color rgb="FF000000"/>
        <rFont val="Arial"/>
        <family val="2"/>
        <scheme val="minor"/>
      </rPr>
      <t>? HVLP4 AWS 2025</t>
    </r>
    <r>
      <rPr>
        <sz val="10"/>
        <color rgb="FF000000"/>
        <rFont val="Arial"/>
        <family val="3"/>
        <charset val="136"/>
        <scheme val="minor"/>
      </rPr>
      <t>卡住，所以初始量一開始就拉完，</t>
    </r>
    <r>
      <rPr>
        <sz val="10"/>
        <color rgb="FF000000"/>
        <rFont val="Arial"/>
        <family val="2"/>
        <scheme val="minor"/>
      </rPr>
      <t>4Q25</t>
    </r>
    <r>
      <rPr>
        <sz val="10"/>
        <color rgb="FF000000"/>
        <rFont val="Arial"/>
        <family val="3"/>
        <charset val="136"/>
        <scheme val="minor"/>
      </rPr>
      <t>就有點停住。三井之前有發生爆板也會影響到終端客戶的看法，台光又拉金居拉的積極。</t>
    </r>
  </si>
  <si>
    <r>
      <t xml:space="preserve">23. ABF update: </t>
    </r>
    <r>
      <rPr>
        <sz val="10"/>
        <color rgb="FF000000"/>
        <rFont val="Arial"/>
        <family val="3"/>
        <charset val="136"/>
        <scheme val="minor"/>
      </rPr>
      <t>欣興、景碩以大型客戶</t>
    </r>
    <r>
      <rPr>
        <sz val="10"/>
        <color rgb="FF000000"/>
        <rFont val="Arial"/>
        <family val="2"/>
        <scheme val="minor"/>
      </rPr>
      <t>(I/A/N)</t>
    </r>
    <r>
      <rPr>
        <sz val="10"/>
        <color rgb="FF000000"/>
        <rFont val="Arial"/>
        <family val="3"/>
        <charset val="136"/>
        <scheme val="minor"/>
      </rPr>
      <t>為主，一季漲價</t>
    </r>
    <r>
      <rPr>
        <sz val="10"/>
        <color rgb="FF000000"/>
        <rFont val="Arial"/>
        <family val="2"/>
        <scheme val="minor"/>
      </rPr>
      <t>5-10%</t>
    </r>
    <r>
      <rPr>
        <sz val="10"/>
        <color rgb="FF000000"/>
        <rFont val="Arial"/>
        <family val="3"/>
        <charset val="136"/>
        <scheme val="minor"/>
      </rPr>
      <t>差不多，很難強勢漲價，只能做產品組合變化優化</t>
    </r>
    <r>
      <rPr>
        <sz val="10"/>
        <color rgb="FF000000"/>
        <rFont val="Arial"/>
        <family val="2"/>
        <scheme val="minor"/>
      </rPr>
      <t>GM</t>
    </r>
    <r>
      <rPr>
        <sz val="10"/>
        <color rgb="FF000000"/>
        <rFont val="Arial"/>
        <family val="3"/>
        <charset val="136"/>
        <scheme val="minor"/>
      </rPr>
      <t>，欣興就挑產品做，雖然看上去像漲價。</t>
    </r>
  </si>
  <si>
    <r>
      <t>29. CoWoP in 2028 Feynman</t>
    </r>
    <r>
      <rPr>
        <sz val="10"/>
        <color rgb="FF000000"/>
        <rFont val="Arial"/>
        <family val="3"/>
        <charset val="136"/>
        <scheme val="minor"/>
      </rPr>
      <t>。但台積電現在沒空所以也沒開案。如果沒開案就只是一個案子而已。</t>
    </r>
  </si>
  <si>
    <r>
      <t xml:space="preserve">30. </t>
    </r>
    <r>
      <rPr>
        <sz val="10"/>
        <color rgb="FF000000"/>
        <rFont val="Arial"/>
        <family val="3"/>
        <charset val="136"/>
        <scheme val="minor"/>
      </rPr>
      <t>欣興</t>
    </r>
    <r>
      <rPr>
        <sz val="10"/>
        <color rgb="FF000000"/>
        <rFont val="Arial"/>
        <family val="2"/>
        <scheme val="minor"/>
      </rPr>
      <t>EMIB</t>
    </r>
    <r>
      <rPr>
        <sz val="10"/>
        <color rgb="FF000000"/>
        <rFont val="Arial"/>
        <family val="3"/>
        <charset val="136"/>
        <scheme val="minor"/>
      </rPr>
      <t>聽說很多客戶有興趣</t>
    </r>
    <r>
      <rPr>
        <sz val="10"/>
        <color rgb="FF000000"/>
        <rFont val="Arial"/>
        <family val="2"/>
        <scheme val="minor"/>
      </rPr>
      <t>? EMIB</t>
    </r>
    <r>
      <rPr>
        <sz val="10"/>
        <color rgb="FF000000"/>
        <rFont val="Arial"/>
        <family val="3"/>
        <charset val="136"/>
        <scheme val="minor"/>
      </rPr>
      <t>供貨順序</t>
    </r>
    <r>
      <rPr>
        <sz val="10"/>
        <color rgb="FF000000"/>
        <rFont val="Arial"/>
        <family val="2"/>
        <scheme val="minor"/>
      </rPr>
      <t>Ibiden/Semco/AT&amp;S</t>
    </r>
    <r>
      <rPr>
        <sz val="10"/>
        <color rgb="FF000000"/>
        <rFont val="Arial"/>
        <family val="3"/>
        <charset val="136"/>
        <scheme val="minor"/>
      </rPr>
      <t>先出完，接下來才輪到欣興。</t>
    </r>
  </si>
  <si>
    <r>
      <t xml:space="preserve">31. </t>
    </r>
    <r>
      <rPr>
        <sz val="10"/>
        <color rgb="FF000000"/>
        <rFont val="Arial"/>
        <family val="3"/>
        <charset val="136"/>
        <scheme val="minor"/>
      </rPr>
      <t>大尺寸官方說良率</t>
    </r>
    <r>
      <rPr>
        <sz val="10"/>
        <color rgb="FF000000"/>
        <rFont val="Arial"/>
        <family val="2"/>
        <scheme val="minor"/>
      </rPr>
      <t>80-90%</t>
    </r>
    <r>
      <rPr>
        <sz val="10"/>
        <color rgb="FF000000"/>
        <rFont val="Arial"/>
        <family val="3"/>
        <charset val="136"/>
        <scheme val="minor"/>
      </rPr>
      <t>，實際良率可能只有</t>
    </r>
    <r>
      <rPr>
        <sz val="10"/>
        <color rgb="FF000000"/>
        <rFont val="Arial"/>
        <family val="2"/>
        <scheme val="minor"/>
      </rPr>
      <t>50%</t>
    </r>
    <r>
      <rPr>
        <sz val="10"/>
        <color rgb="FF000000"/>
        <rFont val="Arial"/>
        <family val="3"/>
        <charset val="136"/>
        <scheme val="minor"/>
      </rPr>
      <t>。</t>
    </r>
  </si>
  <si>
    <r>
      <t xml:space="preserve">32. </t>
    </r>
    <r>
      <rPr>
        <sz val="10"/>
        <color rgb="FF000000"/>
        <rFont val="Arial"/>
        <family val="3"/>
        <charset val="136"/>
        <scheme val="minor"/>
      </rPr>
      <t>臻鼎有空的載板廠，大陸的不太能用，只剩高雄廠。南電有一批人本來要過去後來也沒去，一批過去景碩，所以臻鼎沒什麼消息，但可能有</t>
    </r>
    <r>
      <rPr>
        <sz val="10"/>
        <color rgb="FF000000"/>
        <rFont val="Arial"/>
        <family val="2"/>
        <scheme val="minor"/>
      </rPr>
      <t>AMD</t>
    </r>
    <r>
      <rPr>
        <sz val="10"/>
        <color rgb="FF000000"/>
        <rFont val="Arial"/>
        <family val="3"/>
        <charset val="136"/>
        <scheme val="minor"/>
      </rPr>
      <t>，不過</t>
    </r>
    <r>
      <rPr>
        <sz val="10"/>
        <color rgb="FF000000"/>
        <rFont val="Arial"/>
        <family val="2"/>
        <scheme val="minor"/>
      </rPr>
      <t>2h27</t>
    </r>
    <r>
      <rPr>
        <sz val="10"/>
        <color rgb="FF000000"/>
        <rFont val="Arial"/>
        <family val="3"/>
        <charset val="136"/>
        <scheme val="minor"/>
      </rPr>
      <t>才有機會，因為</t>
    </r>
    <r>
      <rPr>
        <sz val="10"/>
        <color rgb="FF000000"/>
        <rFont val="Arial"/>
        <family val="2"/>
        <scheme val="minor"/>
      </rPr>
      <t>NV</t>
    </r>
    <r>
      <rPr>
        <sz val="10"/>
        <color rgb="FF000000"/>
        <rFont val="Arial"/>
        <family val="3"/>
        <charset val="136"/>
        <scheme val="minor"/>
      </rPr>
      <t>也沒有要用。</t>
    </r>
  </si>
  <si>
    <r>
      <t xml:space="preserve">33. </t>
    </r>
    <r>
      <rPr>
        <sz val="10"/>
        <color rgb="FF000000"/>
        <rFont val="Arial"/>
        <family val="3"/>
        <charset val="136"/>
        <scheme val="minor"/>
      </rPr>
      <t>臻鼎淮安廠還在驗證中，還沒有結果。</t>
    </r>
  </si>
  <si>
    <r>
      <t xml:space="preserve">34. </t>
    </r>
    <r>
      <rPr>
        <sz val="10"/>
        <color rgb="FF000000"/>
        <rFont val="Arial"/>
        <family val="3"/>
        <charset val="136"/>
        <scheme val="minor"/>
      </rPr>
      <t>定穎</t>
    </r>
    <r>
      <rPr>
        <sz val="10"/>
        <color rgb="FF000000"/>
        <rFont val="Arial"/>
        <family val="2"/>
        <scheme val="minor"/>
      </rPr>
      <t>nv</t>
    </r>
    <r>
      <rPr>
        <sz val="10"/>
        <color rgb="FF000000"/>
        <rFont val="Arial"/>
        <family val="3"/>
        <charset val="136"/>
        <scheme val="minor"/>
      </rPr>
      <t>還是從</t>
    </r>
    <r>
      <rPr>
        <sz val="10"/>
        <color rgb="FF000000"/>
        <rFont val="Arial"/>
        <family val="2"/>
        <scheme val="minor"/>
      </rPr>
      <t>vera rubin oam/switch tray</t>
    </r>
    <r>
      <rPr>
        <sz val="10"/>
        <color rgb="FF000000"/>
        <rFont val="Arial"/>
        <family val="3"/>
        <charset val="136"/>
        <scheme val="minor"/>
      </rPr>
      <t>開始切入，</t>
    </r>
    <r>
      <rPr>
        <sz val="10"/>
        <color rgb="FF000000"/>
        <rFont val="Arial"/>
        <family val="2"/>
        <scheme val="minor"/>
      </rPr>
      <t>GB</t>
    </r>
    <r>
      <rPr>
        <sz val="10"/>
        <color rgb="FF000000"/>
        <rFont val="Arial"/>
        <family val="3"/>
        <charset val="136"/>
        <scheme val="minor"/>
      </rPr>
      <t>現在要看情況，可能是拿來試產。</t>
    </r>
  </si>
  <si>
    <r>
      <t>35. GB300 switch tray</t>
    </r>
    <r>
      <rPr>
        <sz val="10"/>
        <color rgb="FF000000"/>
        <rFont val="Arial"/>
        <family val="3"/>
        <charset val="136"/>
        <scheme val="minor"/>
      </rPr>
      <t>勝宏主、</t>
    </r>
    <r>
      <rPr>
        <sz val="10"/>
        <color rgb="FF000000"/>
        <rFont val="Arial"/>
        <family val="2"/>
        <scheme val="minor"/>
      </rPr>
      <t>ttm/</t>
    </r>
    <r>
      <rPr>
        <sz val="10"/>
        <color rgb="FF000000"/>
        <rFont val="Arial"/>
        <family val="3"/>
        <charset val="136"/>
        <scheme val="minor"/>
      </rPr>
      <t>景旺輔。</t>
    </r>
  </si>
  <si>
    <r>
      <t xml:space="preserve">36. </t>
    </r>
    <r>
      <rPr>
        <sz val="10"/>
        <color rgb="FF000000"/>
        <rFont val="Arial"/>
        <family val="3"/>
        <charset val="136"/>
        <scheme val="minor"/>
      </rPr>
      <t>泰國廠應該</t>
    </r>
    <r>
      <rPr>
        <sz val="10"/>
        <color rgb="FF000000"/>
        <rFont val="Arial"/>
        <family val="2"/>
        <scheme val="minor"/>
      </rPr>
      <t>3Q26</t>
    </r>
    <r>
      <rPr>
        <sz val="10"/>
        <color rgb="FF000000"/>
        <rFont val="Arial"/>
        <family val="3"/>
        <charset val="136"/>
        <scheme val="minor"/>
      </rPr>
      <t>單月損平，不會等到</t>
    </r>
    <r>
      <rPr>
        <sz val="10"/>
        <color rgb="FF000000"/>
        <rFont val="Arial"/>
        <family val="2"/>
        <scheme val="minor"/>
      </rPr>
      <t>4Q26</t>
    </r>
    <r>
      <rPr>
        <sz val="10"/>
        <color rgb="FF000000"/>
        <rFont val="Arial"/>
        <family val="3"/>
        <charset val="136"/>
        <scheme val="minor"/>
      </rPr>
      <t>。</t>
    </r>
  </si>
  <si>
    <t>產能（萬米）</t>
    <phoneticPr fontId="5" type="noConversion"/>
  </si>
  <si>
    <t>良率</t>
    <phoneticPr fontId="5" type="noConversion"/>
  </si>
  <si>
    <t>出貨量</t>
    <phoneticPr fontId="5" type="noConversion"/>
  </si>
  <si>
    <t>Q glass</t>
    <phoneticPr fontId="5" type="noConversion"/>
  </si>
  <si>
    <t>月產能（萬米）</t>
    <phoneticPr fontId="5" type="noConversion"/>
  </si>
  <si>
    <t>季產能（萬米）</t>
    <phoneticPr fontId="5" type="noConversion"/>
  </si>
  <si>
    <t xml:space="preserve"> ASP(USD)</t>
    <phoneticPr fontId="5" type="noConversion"/>
  </si>
  <si>
    <r>
      <rPr>
        <sz val="10"/>
        <color rgb="FFFFFFFF"/>
        <rFont val="微軟正黑體"/>
        <family val="2"/>
        <charset val="136"/>
      </rPr>
      <t>營業</t>
    </r>
    <r>
      <rPr>
        <sz val="10"/>
        <color rgb="FFFFFFFF"/>
        <rFont val="Microsoft JhengHei"/>
        <family val="2"/>
      </rPr>
      <t>收入</t>
    </r>
    <phoneticPr fontId="5" type="noConversion"/>
  </si>
  <si>
    <r>
      <rPr>
        <sz val="10"/>
        <color rgb="FFFFFFFF"/>
        <rFont val="微軟正黑體"/>
        <family val="2"/>
        <charset val="136"/>
      </rPr>
      <t>營業</t>
    </r>
    <r>
      <rPr>
        <sz val="10"/>
        <color rgb="FFFFFFFF"/>
        <rFont val="Microsoft JhengHei"/>
        <family val="2"/>
      </rPr>
      <t>成本</t>
    </r>
    <phoneticPr fontId="5" type="noConversion"/>
  </si>
  <si>
    <t>E布</t>
    <phoneticPr fontId="5" type="noConversion"/>
  </si>
  <si>
    <r>
      <t>Q</t>
    </r>
    <r>
      <rPr>
        <sz val="10"/>
        <color theme="0"/>
        <rFont val="Microsoft JhengHei"/>
        <family val="2"/>
        <charset val="136"/>
      </rPr>
      <t>布貢獻</t>
    </r>
    <phoneticPr fontId="5" type="noConversion"/>
  </si>
  <si>
    <t>GM</t>
    <phoneticPr fontId="5" type="noConversion"/>
  </si>
  <si>
    <r>
      <t xml:space="preserve">Q </t>
    </r>
    <r>
      <rPr>
        <sz val="11"/>
        <color rgb="FFFFFFFF"/>
        <rFont val="Microsoft JhengHei"/>
        <family val="2"/>
      </rPr>
      <t>砂</t>
    </r>
    <phoneticPr fontId="5" type="noConversion"/>
  </si>
  <si>
    <t>OPM</t>
    <phoneticPr fontId="5" type="noConversion"/>
  </si>
  <si>
    <t>稅率</t>
    <phoneticPr fontId="5" type="noConversion"/>
  </si>
  <si>
    <r>
      <rPr>
        <sz val="11"/>
        <color rgb="FFFFFFFF"/>
        <rFont val="微軟正黑體"/>
        <family val="2"/>
        <charset val="136"/>
      </rPr>
      <t>營收</t>
    </r>
    <r>
      <rPr>
        <sz val="11"/>
        <color rgb="FFFFFFFF"/>
        <rFont val="Arial"/>
        <family val="2"/>
      </rPr>
      <t>(</t>
    </r>
    <r>
      <rPr>
        <sz val="11"/>
        <color rgb="FFFFFFFF"/>
        <rFont val="Microsoft JhengHei"/>
        <family val="2"/>
      </rPr>
      <t>百萬新台幣</t>
    </r>
    <r>
      <rPr>
        <sz val="11"/>
        <color rgb="FFFFFFFF"/>
        <rFont val="Arial"/>
        <family val="2"/>
      </rPr>
      <t>)</t>
    </r>
    <phoneticPr fontId="5" type="noConversion"/>
  </si>
  <si>
    <r>
      <t>石英砂</t>
    </r>
    <r>
      <rPr>
        <sz val="10"/>
        <color rgb="FF000000"/>
        <rFont val="Arial"/>
        <scheme val="minor"/>
      </rPr>
      <t xml:space="preserve"> 1kg = 20m2 </t>
    </r>
    <r>
      <rPr>
        <sz val="10"/>
        <color rgb="FF000000"/>
        <rFont val="Arial"/>
        <family val="3"/>
        <charset val="136"/>
        <scheme val="minor"/>
      </rPr>
      <t>石英布</t>
    </r>
  </si>
  <si>
    <r>
      <t>1kg 250-280</t>
    </r>
    <r>
      <rPr>
        <sz val="10"/>
        <color rgb="FF000000"/>
        <rFont val="Arial"/>
        <family val="3"/>
        <charset val="136"/>
        <scheme val="minor"/>
      </rPr>
      <t>鎂</t>
    </r>
    <r>
      <rPr>
        <sz val="10"/>
        <color rgb="FF000000"/>
        <rFont val="Arial"/>
        <scheme val="minor"/>
      </rPr>
      <t>; 1m2 40</t>
    </r>
    <r>
      <rPr>
        <sz val="10"/>
        <color rgb="FF000000"/>
        <rFont val="Arial"/>
        <family val="3"/>
        <charset val="136"/>
        <scheme val="minor"/>
      </rPr>
      <t>鎂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等於</t>
    </r>
    <r>
      <rPr>
        <sz val="10"/>
        <color rgb="FF000000"/>
        <rFont val="Arial"/>
        <scheme val="minor"/>
      </rPr>
      <t xml:space="preserve"> 20m2 </t>
    </r>
    <r>
      <rPr>
        <sz val="10"/>
        <color rgb="FF000000"/>
        <rFont val="Arial"/>
        <family val="3"/>
        <charset val="136"/>
        <scheme val="minor"/>
      </rPr>
      <t>石英布</t>
    </r>
    <r>
      <rPr>
        <sz val="10"/>
        <color rgb="FF000000"/>
        <rFont val="Arial"/>
        <scheme val="minor"/>
      </rPr>
      <t>800</t>
    </r>
    <r>
      <rPr>
        <sz val="10"/>
        <color rgb="FF000000"/>
        <rFont val="Arial"/>
        <family val="3"/>
        <charset val="136"/>
        <scheme val="minor"/>
      </rPr>
      <t>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</si>
</sst>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;\(#,##0.00\)"/>
    <numFmt numFmtId="177" formatCode="0.00_);[Red]\(0.00\)"/>
  </numFmts>
  <fonts count="22">
    <font>
      <sz val="10"/>
      <color rgb="FF000000"/>
      <name val="Arial"/>
      <scheme val="minor"/>
    </font>
    <font>
      <sz val="11"/>
      <color rgb="FFFFFF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FFFF"/>
      <name val="Arial"/>
      <family val="2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scheme val="minor"/>
    </font>
    <font>
      <sz val="11"/>
      <color rgb="FFFFFFFF"/>
      <name val="微軟正黑體"/>
      <family val="2"/>
      <charset val="136"/>
    </font>
    <font>
      <sz val="11"/>
      <color rgb="FFFFFFFF"/>
      <name val="Microsoft JhengHei"/>
      <family val="2"/>
    </font>
    <font>
      <sz val="10"/>
      <color rgb="FF000000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FFFFFF"/>
      <name val="微軟正黑體"/>
      <family val="2"/>
      <charset val="136"/>
    </font>
    <font>
      <sz val="10"/>
      <color rgb="FFFFFFFF"/>
      <name val="Microsoft JhengHei"/>
      <family val="2"/>
    </font>
    <font>
      <sz val="10"/>
      <color rgb="FFFFFFFF"/>
      <name val="Arial"/>
      <family val="2"/>
      <charset val="136"/>
    </font>
    <font>
      <sz val="10"/>
      <color theme="0"/>
      <name val="Arial"/>
      <family val="2"/>
      <scheme val="minor"/>
    </font>
    <font>
      <sz val="10"/>
      <color theme="0"/>
      <name val="Microsoft JhengHei"/>
      <family val="2"/>
      <charset val="136"/>
    </font>
    <font>
      <sz val="10"/>
      <name val="Arial"/>
      <family val="2"/>
    </font>
    <font>
      <sz val="10"/>
      <name val="Arial"/>
      <family val="2"/>
      <scheme val="minor"/>
    </font>
    <font>
      <sz val="10"/>
      <name val="Microsoft JhengHei"/>
      <family val="2"/>
    </font>
    <font>
      <sz val="11"/>
      <color rgb="FFFFFFFF"/>
      <name val="Arial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4CCCC"/>
        <bgColor rgb="FFF4CCCC"/>
      </patternFill>
    </fill>
    <fill>
      <patternFill patternType="solid">
        <fgColor rgb="FFD9E6FC"/>
        <bgColor rgb="FFD9E6F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9DAF8"/>
      </patternFill>
    </fill>
    <fill>
      <patternFill patternType="solid">
        <fgColor theme="5" tint="0.79998168889431442"/>
        <bgColor rgb="FFF4CC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07376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rgb="FF073763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>
      <alignment vertical="center"/>
    </xf>
  </cellStyleXfs>
  <cellXfs count="107">
    <xf numFmtId="0" fontId="0" fillId="0" borderId="0" xfId="0"/>
    <xf numFmtId="3" fontId="1" fillId="2" borderId="1" xfId="0" applyNumberFormat="1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right"/>
    </xf>
    <xf numFmtId="3" fontId="2" fillId="0" borderId="0" xfId="0" applyNumberFormat="1" applyFont="1"/>
    <xf numFmtId="3" fontId="3" fillId="0" borderId="0" xfId="0" applyNumberFormat="1" applyFont="1"/>
    <xf numFmtId="3" fontId="1" fillId="2" borderId="1" xfId="0" applyNumberFormat="1" applyFont="1" applyFill="1" applyBorder="1" applyAlignment="1">
      <alignment horizontal="right"/>
    </xf>
    <xf numFmtId="4" fontId="2" fillId="3" borderId="0" xfId="0" applyNumberFormat="1" applyFont="1" applyFill="1"/>
    <xf numFmtId="0" fontId="2" fillId="0" borderId="0" xfId="0" applyFont="1"/>
    <xf numFmtId="3" fontId="1" fillId="2" borderId="0" xfId="0" applyNumberFormat="1" applyFont="1" applyFill="1" applyAlignment="1">
      <alignment horizontal="left"/>
    </xf>
    <xf numFmtId="3" fontId="3" fillId="0" borderId="0" xfId="0" applyNumberFormat="1" applyFont="1" applyAlignment="1">
      <alignment horizontal="left"/>
    </xf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10" fontId="2" fillId="4" borderId="0" xfId="0" applyNumberFormat="1" applyFont="1" applyFill="1" applyAlignment="1">
      <alignment horizontal="right"/>
    </xf>
    <xf numFmtId="10" fontId="1" fillId="2" borderId="1" xfId="0" applyNumberFormat="1" applyFont="1" applyFill="1" applyBorder="1" applyAlignment="1">
      <alignment horizontal="left"/>
    </xf>
    <xf numFmtId="10" fontId="3" fillId="0" borderId="0" xfId="0" applyNumberFormat="1" applyFont="1"/>
    <xf numFmtId="10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3" fontId="2" fillId="5" borderId="0" xfId="0" applyNumberFormat="1" applyFont="1" applyFill="1" applyAlignment="1">
      <alignment horizontal="right"/>
    </xf>
    <xf numFmtId="0" fontId="4" fillId="2" borderId="1" xfId="0" applyFont="1" applyFill="1" applyBorder="1"/>
    <xf numFmtId="3" fontId="2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176" fontId="4" fillId="2" borderId="1" xfId="0" applyNumberFormat="1" applyFont="1" applyFill="1" applyBorder="1"/>
    <xf numFmtId="4" fontId="2" fillId="4" borderId="1" xfId="0" applyNumberFormat="1" applyFont="1" applyFill="1" applyBorder="1" applyAlignment="1">
      <alignment horizontal="right"/>
    </xf>
    <xf numFmtId="4" fontId="2" fillId="4" borderId="0" xfId="0" applyNumberFormat="1" applyFont="1" applyFill="1" applyAlignment="1">
      <alignment horizontal="right"/>
    </xf>
    <xf numFmtId="10" fontId="4" fillId="2" borderId="1" xfId="0" applyNumberFormat="1" applyFont="1" applyFill="1" applyBorder="1"/>
    <xf numFmtId="0" fontId="0" fillId="7" borderId="2" xfId="0" applyFill="1" applyBorder="1"/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0" fontId="2" fillId="0" borderId="1" xfId="0" applyNumberFormat="1" applyFont="1" applyBorder="1"/>
    <xf numFmtId="10" fontId="2" fillId="0" borderId="1" xfId="0" applyNumberFormat="1" applyFont="1" applyBorder="1" applyAlignment="1">
      <alignment horizontal="right"/>
    </xf>
    <xf numFmtId="10" fontId="2" fillId="4" borderId="1" xfId="0" applyNumberFormat="1" applyFont="1" applyFill="1" applyBorder="1" applyAlignment="1">
      <alignment horizontal="right"/>
    </xf>
    <xf numFmtId="0" fontId="0" fillId="0" borderId="1" xfId="0" applyBorder="1"/>
    <xf numFmtId="3" fontId="1" fillId="2" borderId="4" xfId="0" applyNumberFormat="1" applyFont="1" applyFill="1" applyBorder="1" applyAlignment="1">
      <alignment horizontal="center"/>
    </xf>
    <xf numFmtId="3" fontId="2" fillId="0" borderId="4" xfId="0" applyNumberFormat="1" applyFont="1" applyBorder="1"/>
    <xf numFmtId="3" fontId="2" fillId="0" borderId="4" xfId="0" applyNumberFormat="1" applyFont="1" applyBorder="1" applyAlignment="1">
      <alignment horizontal="right"/>
    </xf>
    <xf numFmtId="0" fontId="2" fillId="0" borderId="4" xfId="0" applyFont="1" applyBorder="1"/>
    <xf numFmtId="10" fontId="2" fillId="0" borderId="4" xfId="0" applyNumberFormat="1" applyFont="1" applyBorder="1"/>
    <xf numFmtId="10" fontId="2" fillId="0" borderId="4" xfId="0" applyNumberFormat="1" applyFont="1" applyBorder="1" applyAlignment="1">
      <alignment horizontal="right"/>
    </xf>
    <xf numFmtId="10" fontId="2" fillId="4" borderId="4" xfId="0" applyNumberFormat="1" applyFont="1" applyFill="1" applyBorder="1" applyAlignment="1">
      <alignment horizontal="right"/>
    </xf>
    <xf numFmtId="3" fontId="2" fillId="4" borderId="4" xfId="0" applyNumberFormat="1" applyFont="1" applyFill="1" applyBorder="1"/>
    <xf numFmtId="4" fontId="2" fillId="4" borderId="4" xfId="0" applyNumberFormat="1" applyFont="1" applyFill="1" applyBorder="1" applyAlignment="1">
      <alignment horizontal="right"/>
    </xf>
    <xf numFmtId="0" fontId="0" fillId="0" borderId="4" xfId="0" applyBorder="1"/>
    <xf numFmtId="3" fontId="2" fillId="8" borderId="2" xfId="0" applyNumberFormat="1" applyFont="1" applyFill="1" applyBorder="1" applyAlignment="1">
      <alignment horizontal="right"/>
    </xf>
    <xf numFmtId="3" fontId="2" fillId="0" borderId="2" xfId="0" applyNumberFormat="1" applyFont="1" applyBorder="1" applyAlignment="1">
      <alignment horizontal="right"/>
    </xf>
    <xf numFmtId="0" fontId="7" fillId="0" borderId="0" xfId="0" applyFont="1"/>
    <xf numFmtId="0" fontId="11" fillId="0" borderId="0" xfId="0" applyFont="1"/>
    <xf numFmtId="3" fontId="9" fillId="2" borderId="1" xfId="0" applyNumberFormat="1" applyFont="1" applyFill="1" applyBorder="1" applyAlignment="1">
      <alignment horizontal="right"/>
    </xf>
    <xf numFmtId="9" fontId="9" fillId="2" borderId="1" xfId="1" applyFont="1" applyFill="1" applyBorder="1" applyAlignment="1">
      <alignment horizontal="right"/>
    </xf>
    <xf numFmtId="9" fontId="0" fillId="0" borderId="0" xfId="1" applyFont="1" applyAlignment="1"/>
    <xf numFmtId="9" fontId="0" fillId="7" borderId="2" xfId="1" applyFont="1" applyFill="1" applyBorder="1" applyAlignment="1"/>
    <xf numFmtId="3" fontId="9" fillId="12" borderId="1" xfId="0" applyNumberFormat="1" applyFont="1" applyFill="1" applyBorder="1" applyAlignment="1">
      <alignment horizontal="right"/>
    </xf>
    <xf numFmtId="0" fontId="0" fillId="13" borderId="1" xfId="0" applyFill="1" applyBorder="1"/>
    <xf numFmtId="4" fontId="1" fillId="12" borderId="1" xfId="0" applyNumberFormat="1" applyFont="1" applyFill="1" applyBorder="1" applyAlignment="1">
      <alignment horizontal="right"/>
    </xf>
    <xf numFmtId="3" fontId="10" fillId="2" borderId="1" xfId="0" applyNumberFormat="1" applyFont="1" applyFill="1" applyBorder="1" applyAlignment="1">
      <alignment horizontal="center"/>
    </xf>
    <xf numFmtId="0" fontId="15" fillId="2" borderId="1" xfId="0" applyFont="1" applyFill="1" applyBorder="1"/>
    <xf numFmtId="4" fontId="2" fillId="0" borderId="0" xfId="0" applyNumberFormat="1" applyFont="1" applyAlignment="1">
      <alignment horizontal="right"/>
    </xf>
    <xf numFmtId="9" fontId="19" fillId="10" borderId="2" xfId="1" applyFont="1" applyFill="1" applyBorder="1" applyAlignment="1"/>
    <xf numFmtId="3" fontId="21" fillId="2" borderId="1" xfId="0" applyNumberFormat="1" applyFont="1" applyFill="1" applyBorder="1" applyAlignment="1">
      <alignment horizontal="left"/>
    </xf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left"/>
    </xf>
    <xf numFmtId="9" fontId="0" fillId="7" borderId="3" xfId="1" applyFont="1" applyFill="1" applyBorder="1" applyAlignment="1"/>
    <xf numFmtId="0" fontId="0" fillId="7" borderId="3" xfId="0" applyFill="1" applyBorder="1"/>
    <xf numFmtId="0" fontId="16" fillId="14" borderId="6" xfId="0" applyFont="1" applyFill="1" applyBorder="1"/>
    <xf numFmtId="3" fontId="1" fillId="2" borderId="7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15" fillId="2" borderId="9" xfId="0" applyFont="1" applyFill="1" applyBorder="1"/>
    <xf numFmtId="3" fontId="0" fillId="0" borderId="1" xfId="0" applyNumberFormat="1" applyBorder="1"/>
    <xf numFmtId="3" fontId="0" fillId="0" borderId="10" xfId="0" applyNumberFormat="1" applyBorder="1"/>
    <xf numFmtId="0" fontId="4" fillId="2" borderId="9" xfId="0" applyFont="1" applyFill="1" applyBorder="1"/>
    <xf numFmtId="1" fontId="0" fillId="0" borderId="1" xfId="0" applyNumberFormat="1" applyBorder="1"/>
    <xf numFmtId="1" fontId="0" fillId="0" borderId="10" xfId="0" applyNumberFormat="1" applyBorder="1"/>
    <xf numFmtId="0" fontId="18" fillId="15" borderId="9" xfId="0" applyFont="1" applyFill="1" applyBorder="1"/>
    <xf numFmtId="9" fontId="19" fillId="10" borderId="11" xfId="1" applyFont="1" applyFill="1" applyBorder="1" applyAlignment="1"/>
    <xf numFmtId="9" fontId="18" fillId="15" borderId="9" xfId="1" applyFont="1" applyFill="1" applyBorder="1" applyAlignment="1"/>
    <xf numFmtId="9" fontId="19" fillId="10" borderId="1" xfId="1" applyFont="1" applyFill="1" applyBorder="1" applyAlignment="1"/>
    <xf numFmtId="9" fontId="19" fillId="10" borderId="10" xfId="1" applyFont="1" applyFill="1" applyBorder="1" applyAlignment="1"/>
    <xf numFmtId="3" fontId="3" fillId="0" borderId="1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20" fillId="15" borderId="9" xfId="0" applyFont="1" applyFill="1" applyBorder="1"/>
    <xf numFmtId="9" fontId="19" fillId="10" borderId="1" xfId="0" applyNumberFormat="1" applyFont="1" applyFill="1" applyBorder="1"/>
    <xf numFmtId="9" fontId="19" fillId="10" borderId="10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176" fontId="4" fillId="2" borderId="12" xfId="0" applyNumberFormat="1" applyFont="1" applyFill="1" applyBorder="1"/>
    <xf numFmtId="177" fontId="3" fillId="0" borderId="13" xfId="0" applyNumberFormat="1" applyFont="1" applyBorder="1" applyAlignment="1">
      <alignment horizontal="center"/>
    </xf>
    <xf numFmtId="177" fontId="3" fillId="0" borderId="14" xfId="0" applyNumberFormat="1" applyFont="1" applyBorder="1" applyAlignment="1">
      <alignment horizontal="center"/>
    </xf>
    <xf numFmtId="3" fontId="2" fillId="10" borderId="1" xfId="0" applyNumberFormat="1" applyFont="1" applyFill="1" applyBorder="1"/>
    <xf numFmtId="3" fontId="2" fillId="10" borderId="1" xfId="0" applyNumberFormat="1" applyFont="1" applyFill="1" applyBorder="1" applyAlignment="1">
      <alignment horizontal="right"/>
    </xf>
    <xf numFmtId="9" fontId="0" fillId="0" borderId="1" xfId="1" applyFont="1" applyBorder="1" applyAlignment="1"/>
    <xf numFmtId="0" fontId="0" fillId="11" borderId="1" xfId="0" applyFill="1" applyBorder="1"/>
    <xf numFmtId="0" fontId="2" fillId="10" borderId="1" xfId="0" applyFont="1" applyFill="1" applyBorder="1" applyAlignment="1">
      <alignment horizontal="right"/>
    </xf>
    <xf numFmtId="0" fontId="2" fillId="10" borderId="1" xfId="0" applyFont="1" applyFill="1" applyBorder="1"/>
    <xf numFmtId="0" fontId="6" fillId="0" borderId="1" xfId="0" applyFont="1" applyBorder="1"/>
    <xf numFmtId="9" fontId="6" fillId="0" borderId="1" xfId="1" applyFont="1" applyBorder="1" applyAlignment="1"/>
    <xf numFmtId="9" fontId="2" fillId="6" borderId="5" xfId="1" applyFont="1" applyFill="1" applyBorder="1" applyAlignment="1">
      <alignment horizontal="right"/>
    </xf>
    <xf numFmtId="0" fontId="2" fillId="9" borderId="5" xfId="0" applyFont="1" applyFill="1" applyBorder="1" applyAlignment="1">
      <alignment horizontal="right"/>
    </xf>
    <xf numFmtId="9" fontId="0" fillId="7" borderId="15" xfId="1" applyFont="1" applyFill="1" applyBorder="1" applyAlignment="1"/>
    <xf numFmtId="0" fontId="2" fillId="6" borderId="15" xfId="0" applyFont="1" applyFill="1" applyBorder="1" applyAlignment="1">
      <alignment horizontal="right"/>
    </xf>
    <xf numFmtId="9" fontId="2" fillId="6" borderId="1" xfId="1" applyFont="1" applyFill="1" applyBorder="1" applyAlignment="1">
      <alignment horizontal="right"/>
    </xf>
    <xf numFmtId="9" fontId="2" fillId="6" borderId="1" xfId="1" applyFont="1" applyFill="1" applyBorder="1" applyAlignment="1"/>
    <xf numFmtId="0" fontId="2" fillId="9" borderId="1" xfId="0" applyFont="1" applyFill="1" applyBorder="1" applyAlignment="1">
      <alignment horizontal="right"/>
    </xf>
    <xf numFmtId="1" fontId="6" fillId="7" borderId="2" xfId="0" applyNumberFormat="1" applyFont="1" applyFill="1" applyBorder="1"/>
    <xf numFmtId="1" fontId="6" fillId="7" borderId="11" xfId="0" applyNumberFormat="1" applyFont="1" applyFill="1" applyBorder="1"/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699152</xdr:colOff>
      <xdr:row>60</xdr:row>
      <xdr:rowOff>162657</xdr:rowOff>
    </xdr:from>
    <xdr:to>
      <xdr:col>27</xdr:col>
      <xdr:colOff>218237</xdr:colOff>
      <xdr:row>72</xdr:row>
      <xdr:rowOff>67521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6CB60E68-DCA9-C707-2E28-A51CBE89D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60306" y="11030926"/>
          <a:ext cx="7432161" cy="2249481"/>
        </a:xfrm>
        <a:prstGeom prst="rect">
          <a:avLst/>
        </a:prstGeom>
      </xdr:spPr>
    </xdr:pic>
    <xdr:clientData/>
  </xdr:twoCellAnchor>
  <xdr:twoCellAnchor editAs="oneCell">
    <xdr:from>
      <xdr:col>20</xdr:col>
      <xdr:colOff>393496</xdr:colOff>
      <xdr:row>1</xdr:row>
      <xdr:rowOff>99281</xdr:rowOff>
    </xdr:from>
    <xdr:to>
      <xdr:col>23</xdr:col>
      <xdr:colOff>257833</xdr:colOff>
      <xdr:row>20</xdr:row>
      <xdr:rowOff>143067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8AE2CC2E-5071-4FE7-D426-56C5DC84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7934" y="301687"/>
          <a:ext cx="2364649" cy="3889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175C-2182-40A3-8A37-6894B9BE0074}">
  <sheetPr>
    <outlinePr summaryBelow="0" summaryRight="0"/>
  </sheetPr>
  <dimension ref="A1:AD62"/>
  <sheetViews>
    <sheetView tabSelected="1" zoomScale="80" zoomScaleNormal="70" workbookViewId="0">
      <pane xSplit="1" topLeftCell="E1" activePane="topRight" state="frozen"/>
      <selection pane="topRight" activeCell="Z14" sqref="Z14"/>
    </sheetView>
  </sheetViews>
  <sheetFormatPr defaultColWidth="12.5703125" defaultRowHeight="15.75" customHeight="1"/>
  <cols>
    <col min="1" max="1" width="21.7109375" customWidth="1"/>
    <col min="2" max="5" width="12.5703125" customWidth="1"/>
    <col min="8" max="8" width="12.5703125" style="45"/>
    <col min="9" max="9" width="12.5703125" style="35"/>
    <col min="14" max="14" width="12.5703125" hidden="1" customWidth="1"/>
  </cols>
  <sheetData>
    <row r="1" spans="1:30" ht="15.75" customHeight="1">
      <c r="A1" s="1"/>
      <c r="B1" s="2" t="s">
        <v>0</v>
      </c>
      <c r="C1" s="2" t="s">
        <v>1</v>
      </c>
      <c r="D1" s="36" t="s">
        <v>2</v>
      </c>
      <c r="E1" s="2" t="s">
        <v>3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31</v>
      </c>
      <c r="K1" s="2" t="s">
        <v>32</v>
      </c>
      <c r="L1" s="2" t="s">
        <v>33</v>
      </c>
      <c r="M1" s="2" t="s">
        <v>34</v>
      </c>
      <c r="N1" s="2">
        <v>2025</v>
      </c>
      <c r="O1" s="2" t="s">
        <v>35</v>
      </c>
      <c r="P1" s="2" t="s">
        <v>36</v>
      </c>
      <c r="R1" s="66" t="s">
        <v>78</v>
      </c>
      <c r="S1" s="67" t="s">
        <v>35</v>
      </c>
      <c r="T1" s="68" t="s">
        <v>36</v>
      </c>
    </row>
    <row r="2" spans="1:30" ht="15.75" customHeight="1">
      <c r="A2" s="61" t="s">
        <v>83</v>
      </c>
      <c r="B2" s="28">
        <f t="shared" ref="B2:F2" si="0">B3+B10</f>
        <v>0</v>
      </c>
      <c r="C2" s="28">
        <f t="shared" si="0"/>
        <v>0</v>
      </c>
      <c r="D2" s="28">
        <f t="shared" si="0"/>
        <v>0</v>
      </c>
      <c r="E2" s="28">
        <f t="shared" si="0"/>
        <v>0</v>
      </c>
      <c r="F2" s="28">
        <f t="shared" si="0"/>
        <v>0</v>
      </c>
      <c r="G2" s="28">
        <f>G3+G10</f>
        <v>0</v>
      </c>
      <c r="H2" s="28">
        <f>(H3+H10)/100</f>
        <v>1084.5</v>
      </c>
      <c r="I2" s="28">
        <f t="shared" ref="I2:N2" si="1">(I3+I10)/100</f>
        <v>1236.3</v>
      </c>
      <c r="J2" s="28">
        <f t="shared" si="1"/>
        <v>1441.5000000000002</v>
      </c>
      <c r="K2" s="28">
        <f t="shared" si="1"/>
        <v>1984.2</v>
      </c>
      <c r="L2" s="28">
        <f t="shared" si="1"/>
        <v>2735.8799999999992</v>
      </c>
      <c r="M2" s="28">
        <f t="shared" si="1"/>
        <v>4020</v>
      </c>
      <c r="N2" s="28">
        <f t="shared" si="1"/>
        <v>0</v>
      </c>
      <c r="O2" s="28">
        <f>SUM(F2:I2)</f>
        <v>2320.8000000000002</v>
      </c>
      <c r="P2" s="28">
        <f>SUM(J2:M2)</f>
        <v>10181.58</v>
      </c>
      <c r="Q2" s="35"/>
      <c r="R2" s="69" t="s">
        <v>75</v>
      </c>
      <c r="S2" s="70">
        <f>O2</f>
        <v>2320.8000000000002</v>
      </c>
      <c r="T2" s="71">
        <f>P2</f>
        <v>10181.58</v>
      </c>
    </row>
    <row r="3" spans="1:30" ht="15.75" customHeight="1">
      <c r="A3" s="2" t="s">
        <v>37</v>
      </c>
      <c r="B3" s="90">
        <f t="shared" ref="B3:F3" si="2">B4*B8*30</f>
        <v>0</v>
      </c>
      <c r="C3" s="90">
        <f t="shared" si="2"/>
        <v>0</v>
      </c>
      <c r="D3" s="90">
        <f t="shared" si="2"/>
        <v>0</v>
      </c>
      <c r="E3" s="90">
        <f t="shared" si="2"/>
        <v>0</v>
      </c>
      <c r="F3" s="90">
        <f t="shared" si="2"/>
        <v>0</v>
      </c>
      <c r="G3" s="90">
        <f>G4*G8*30</f>
        <v>0</v>
      </c>
      <c r="H3" s="90">
        <f>H4*H8*30</f>
        <v>101250</v>
      </c>
      <c r="I3" s="90">
        <f t="shared" ref="H3:M3" si="3">I4*I8*30</f>
        <v>115830</v>
      </c>
      <c r="J3" s="90">
        <f t="shared" si="3"/>
        <v>133650.00000000003</v>
      </c>
      <c r="K3" s="90">
        <f t="shared" si="3"/>
        <v>187920</v>
      </c>
      <c r="L3" s="90">
        <f t="shared" si="3"/>
        <v>263087.99999999994</v>
      </c>
      <c r="M3" s="90">
        <f>M4*M8*30</f>
        <v>391500</v>
      </c>
      <c r="N3" s="91">
        <f>SUM(B3:E3)</f>
        <v>0</v>
      </c>
      <c r="O3" s="29">
        <f>SUM(F3:I3)</f>
        <v>217080</v>
      </c>
      <c r="P3" s="28">
        <f>SUM(J3:M3)</f>
        <v>976158</v>
      </c>
      <c r="Q3" s="62"/>
      <c r="R3" s="69" t="s">
        <v>76</v>
      </c>
      <c r="S3" s="70">
        <f>S2-S4</f>
        <v>1044.3599999999999</v>
      </c>
      <c r="T3" s="71">
        <f>T2-T4</f>
        <v>4581.7109999999993</v>
      </c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5.75" customHeight="1">
      <c r="A4" s="6" t="s">
        <v>74</v>
      </c>
      <c r="B4" s="30">
        <v>40</v>
      </c>
      <c r="C4" s="30">
        <v>40</v>
      </c>
      <c r="D4" s="30">
        <v>40</v>
      </c>
      <c r="E4" s="30">
        <v>40</v>
      </c>
      <c r="F4" s="30">
        <v>40</v>
      </c>
      <c r="G4" s="30">
        <v>40</v>
      </c>
      <c r="H4" s="30">
        <v>45</v>
      </c>
      <c r="I4" s="30">
        <v>45</v>
      </c>
      <c r="J4" s="30">
        <v>45</v>
      </c>
      <c r="K4" s="30">
        <v>48</v>
      </c>
      <c r="L4" s="30">
        <v>48</v>
      </c>
      <c r="M4" s="30">
        <v>50</v>
      </c>
      <c r="N4" s="30">
        <v>5.5</v>
      </c>
      <c r="O4" s="30"/>
      <c r="P4" s="30"/>
      <c r="Q4" s="62"/>
      <c r="R4" s="72" t="s">
        <v>13</v>
      </c>
      <c r="S4" s="73">
        <f>S2*S5</f>
        <v>1276.4400000000003</v>
      </c>
      <c r="T4" s="74">
        <f>T2*T5</f>
        <v>5599.8690000000006</v>
      </c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5.75" customHeight="1">
      <c r="A5" s="50" t="s">
        <v>72</v>
      </c>
      <c r="B5" s="30">
        <v>0</v>
      </c>
      <c r="C5" s="30">
        <v>0</v>
      </c>
      <c r="D5" s="30">
        <v>0</v>
      </c>
      <c r="E5" s="30">
        <v>0</v>
      </c>
      <c r="F5" s="30">
        <v>0</v>
      </c>
      <c r="G5" s="30">
        <v>0</v>
      </c>
      <c r="H5" s="30">
        <v>50</v>
      </c>
      <c r="I5" s="30">
        <v>55</v>
      </c>
      <c r="J5" s="30">
        <v>60</v>
      </c>
      <c r="K5" s="30">
        <v>75</v>
      </c>
      <c r="L5" s="30">
        <v>105</v>
      </c>
      <c r="M5" s="30">
        <v>150</v>
      </c>
      <c r="N5" s="30"/>
      <c r="O5" s="30"/>
      <c r="P5" s="30"/>
      <c r="Q5" s="62"/>
      <c r="R5" s="75" t="s">
        <v>79</v>
      </c>
      <c r="S5" s="60">
        <v>0.55000000000000004</v>
      </c>
      <c r="T5" s="76">
        <v>0.55000000000000004</v>
      </c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5.75" customHeight="1">
      <c r="A6" s="50" t="s">
        <v>73</v>
      </c>
      <c r="B6" s="35">
        <f t="shared" ref="B6:G6" si="4">B5*3</f>
        <v>0</v>
      </c>
      <c r="C6" s="35">
        <f t="shared" si="4"/>
        <v>0</v>
      </c>
      <c r="D6" s="35">
        <f t="shared" si="4"/>
        <v>0</v>
      </c>
      <c r="E6" s="35">
        <f t="shared" si="4"/>
        <v>0</v>
      </c>
      <c r="F6" s="35">
        <f t="shared" si="4"/>
        <v>0</v>
      </c>
      <c r="G6" s="35">
        <f t="shared" si="4"/>
        <v>0</v>
      </c>
      <c r="H6" s="35">
        <f>H5*3</f>
        <v>150</v>
      </c>
      <c r="I6" s="35">
        <f>I5*3</f>
        <v>165</v>
      </c>
      <c r="J6" s="35">
        <f>J5*3</f>
        <v>180</v>
      </c>
      <c r="K6" s="35">
        <f t="shared" ref="I6:M6" si="5">K5*3</f>
        <v>225</v>
      </c>
      <c r="L6" s="35">
        <f t="shared" si="5"/>
        <v>315</v>
      </c>
      <c r="M6" s="35">
        <f t="shared" si="5"/>
        <v>450</v>
      </c>
      <c r="N6" s="35">
        <f>SUM(B6:E6)</f>
        <v>0</v>
      </c>
      <c r="O6" s="35">
        <f>SUM(F6:I6)</f>
        <v>315</v>
      </c>
      <c r="P6" s="35">
        <f>SUM(J6:M6)</f>
        <v>1170</v>
      </c>
      <c r="Q6" s="62"/>
      <c r="R6" s="72" t="s">
        <v>14</v>
      </c>
      <c r="S6" s="105">
        <f>S2*0.2</f>
        <v>464.16000000000008</v>
      </c>
      <c r="T6" s="106">
        <f>T2*0.2</f>
        <v>2036.316</v>
      </c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s="52" customFormat="1" ht="15.75" customHeight="1">
      <c r="A7" s="51" t="s">
        <v>69</v>
      </c>
      <c r="B7" s="97">
        <v>0.5</v>
      </c>
      <c r="C7" s="97">
        <v>0.5</v>
      </c>
      <c r="D7" s="97">
        <v>0.5</v>
      </c>
      <c r="E7" s="97">
        <v>0.5</v>
      </c>
      <c r="F7" s="97">
        <v>0.5</v>
      </c>
      <c r="G7" s="97">
        <v>0.5</v>
      </c>
      <c r="H7" s="97">
        <v>0.5</v>
      </c>
      <c r="I7" s="97">
        <v>0.52</v>
      </c>
      <c r="J7" s="97">
        <v>0.55000000000000004</v>
      </c>
      <c r="K7" s="97">
        <v>0.57999999999999996</v>
      </c>
      <c r="L7" s="97">
        <v>0.57999999999999996</v>
      </c>
      <c r="M7" s="97">
        <v>0.57999999999999996</v>
      </c>
      <c r="N7" s="92"/>
      <c r="O7" s="92"/>
      <c r="P7" s="92"/>
      <c r="Q7" s="92"/>
      <c r="R7" s="72" t="s">
        <v>15</v>
      </c>
      <c r="S7" s="73">
        <f>S4-S6</f>
        <v>812.2800000000002</v>
      </c>
      <c r="T7" s="74">
        <f>T4-T6</f>
        <v>3563.5530000000008</v>
      </c>
    </row>
    <row r="8" spans="1:30" ht="15.75" customHeight="1">
      <c r="A8" s="50" t="s">
        <v>70</v>
      </c>
      <c r="B8" s="93">
        <f t="shared" ref="B8:G8" si="6">B6*B7</f>
        <v>0</v>
      </c>
      <c r="C8" s="93">
        <f t="shared" si="6"/>
        <v>0</v>
      </c>
      <c r="D8" s="93">
        <f t="shared" si="6"/>
        <v>0</v>
      </c>
      <c r="E8" s="93">
        <f t="shared" si="6"/>
        <v>0</v>
      </c>
      <c r="F8" s="93">
        <f t="shared" si="6"/>
        <v>0</v>
      </c>
      <c r="G8" s="93">
        <f t="shared" si="6"/>
        <v>0</v>
      </c>
      <c r="H8" s="93">
        <f>H6*H7</f>
        <v>75</v>
      </c>
      <c r="I8" s="93">
        <f t="shared" ref="I8:M8" si="7">I6*I7</f>
        <v>85.8</v>
      </c>
      <c r="J8" s="93">
        <f t="shared" si="7"/>
        <v>99.000000000000014</v>
      </c>
      <c r="K8" s="93">
        <f t="shared" si="7"/>
        <v>130.5</v>
      </c>
      <c r="L8" s="93">
        <f t="shared" si="7"/>
        <v>182.7</v>
      </c>
      <c r="M8" s="93">
        <f t="shared" si="7"/>
        <v>261</v>
      </c>
      <c r="N8" s="93"/>
      <c r="O8" s="93">
        <f>SUM(F8:I8)</f>
        <v>160.80000000000001</v>
      </c>
      <c r="P8" s="93">
        <f>SUM(J8:M8)</f>
        <v>673.2</v>
      </c>
      <c r="Q8" s="35"/>
      <c r="R8" s="77" t="s">
        <v>81</v>
      </c>
      <c r="S8" s="78">
        <f>S7/S2</f>
        <v>0.35000000000000003</v>
      </c>
      <c r="T8" s="79">
        <f>T7/T2</f>
        <v>0.35000000000000009</v>
      </c>
    </row>
    <row r="9" spans="1:30" ht="15.75" customHeight="1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35"/>
      <c r="R9" s="72" t="s">
        <v>16</v>
      </c>
      <c r="S9" s="80"/>
      <c r="T9" s="81"/>
      <c r="U9" s="35"/>
    </row>
    <row r="10" spans="1:30" ht="15.75" customHeight="1">
      <c r="A10" s="2" t="s">
        <v>38</v>
      </c>
      <c r="B10" s="94">
        <f t="shared" ref="B10:E10" si="8">B11*B12*30</f>
        <v>0</v>
      </c>
      <c r="C10" s="94">
        <f t="shared" si="8"/>
        <v>0</v>
      </c>
      <c r="D10" s="94">
        <f t="shared" si="8"/>
        <v>0</v>
      </c>
      <c r="E10" s="94">
        <f t="shared" si="8"/>
        <v>0</v>
      </c>
      <c r="F10" s="94">
        <f>F11*F12*30</f>
        <v>0</v>
      </c>
      <c r="G10" s="94">
        <f t="shared" ref="G10:L10" si="9">G11*G12*30</f>
        <v>0</v>
      </c>
      <c r="H10" s="94">
        <f>H11*H12*30</f>
        <v>7200</v>
      </c>
      <c r="I10" s="94">
        <f>I11*I12*30</f>
        <v>7800</v>
      </c>
      <c r="J10" s="94">
        <f t="shared" si="9"/>
        <v>10500</v>
      </c>
      <c r="K10" s="94">
        <f t="shared" si="9"/>
        <v>10500</v>
      </c>
      <c r="L10" s="94">
        <f t="shared" si="9"/>
        <v>10500</v>
      </c>
      <c r="M10" s="94">
        <f t="shared" ref="M10" si="10">M11*M12*30</f>
        <v>10500</v>
      </c>
      <c r="N10" s="91">
        <f>SUM(B10:E10)</f>
        <v>0</v>
      </c>
      <c r="O10" s="91">
        <f>SUM(F10:I10)</f>
        <v>15000</v>
      </c>
      <c r="P10" s="95">
        <f>SUM(J10:M10)</f>
        <v>42000</v>
      </c>
      <c r="Q10" s="35"/>
      <c r="R10" s="72" t="s">
        <v>17</v>
      </c>
      <c r="S10" s="80">
        <f>S7+S9</f>
        <v>812.2800000000002</v>
      </c>
      <c r="T10" s="81">
        <f>T7+T9</f>
        <v>3563.5530000000008</v>
      </c>
      <c r="U10" s="35"/>
    </row>
    <row r="11" spans="1:30" ht="15.75" customHeight="1">
      <c r="A11" s="6" t="s">
        <v>74</v>
      </c>
      <c r="B11" s="30">
        <v>290</v>
      </c>
      <c r="C11" s="30">
        <v>290</v>
      </c>
      <c r="D11" s="30">
        <v>290</v>
      </c>
      <c r="E11" s="30">
        <v>290</v>
      </c>
      <c r="F11" s="30">
        <v>290</v>
      </c>
      <c r="G11" s="30">
        <v>290</v>
      </c>
      <c r="H11" s="30">
        <v>12</v>
      </c>
      <c r="I11" s="30">
        <v>13</v>
      </c>
      <c r="J11" s="30">
        <v>14</v>
      </c>
      <c r="K11" s="30">
        <v>14</v>
      </c>
      <c r="L11" s="30">
        <v>14</v>
      </c>
      <c r="M11" s="30">
        <v>14</v>
      </c>
      <c r="N11" s="30">
        <v>290</v>
      </c>
      <c r="O11" s="30">
        <v>290</v>
      </c>
      <c r="P11" s="30">
        <f>AVERAGE(J11:M11)</f>
        <v>14</v>
      </c>
      <c r="Q11" s="35"/>
      <c r="R11" s="82" t="s">
        <v>82</v>
      </c>
      <c r="S11" s="83">
        <v>0.15</v>
      </c>
      <c r="T11" s="84">
        <v>0.15</v>
      </c>
      <c r="U11" s="35"/>
    </row>
    <row r="12" spans="1:30" ht="15.75" customHeight="1">
      <c r="A12" s="50" t="s">
        <v>68</v>
      </c>
      <c r="B12" s="96">
        <v>0</v>
      </c>
      <c r="C12" s="96">
        <v>0</v>
      </c>
      <c r="D12" s="96">
        <v>0</v>
      </c>
      <c r="E12" s="96">
        <v>0</v>
      </c>
      <c r="F12" s="96">
        <v>0</v>
      </c>
      <c r="G12" s="96">
        <v>0</v>
      </c>
      <c r="H12" s="96">
        <v>20</v>
      </c>
      <c r="I12" s="96">
        <v>20</v>
      </c>
      <c r="J12" s="35">
        <v>25</v>
      </c>
      <c r="K12" s="35">
        <v>25</v>
      </c>
      <c r="L12" s="35">
        <v>25</v>
      </c>
      <c r="M12" s="35">
        <v>25</v>
      </c>
      <c r="N12" s="35">
        <f>SUM(B12:E12)</f>
        <v>0</v>
      </c>
      <c r="O12" s="35">
        <f>SUM(F12:I12)</f>
        <v>40</v>
      </c>
      <c r="P12" s="35">
        <f>SUM(J12:M12)</f>
        <v>100</v>
      </c>
      <c r="Q12" s="35"/>
      <c r="R12" s="72" t="s">
        <v>18</v>
      </c>
      <c r="S12" s="80">
        <f>S10*S11</f>
        <v>121.84200000000003</v>
      </c>
      <c r="T12" s="81">
        <f>T10*T11</f>
        <v>534.53295000000014</v>
      </c>
      <c r="U12" s="35"/>
    </row>
    <row r="13" spans="1:30" s="53" customFormat="1" ht="15.75" customHeight="1">
      <c r="A13" s="51" t="s">
        <v>69</v>
      </c>
      <c r="B13" s="98">
        <v>1</v>
      </c>
      <c r="C13" s="102">
        <v>1</v>
      </c>
      <c r="D13" s="102">
        <v>1</v>
      </c>
      <c r="E13" s="102">
        <v>1</v>
      </c>
      <c r="F13" s="102">
        <v>1</v>
      </c>
      <c r="G13" s="102">
        <v>1</v>
      </c>
      <c r="H13" s="102">
        <v>1</v>
      </c>
      <c r="I13" s="102">
        <v>1</v>
      </c>
      <c r="J13" s="102">
        <v>1</v>
      </c>
      <c r="K13" s="102">
        <v>1</v>
      </c>
      <c r="L13" s="102">
        <v>1</v>
      </c>
      <c r="M13" s="102">
        <v>1</v>
      </c>
      <c r="N13" s="102"/>
      <c r="O13" s="102"/>
      <c r="P13" s="103"/>
      <c r="Q13" s="100"/>
      <c r="R13" s="72" t="s">
        <v>19</v>
      </c>
      <c r="S13" s="80">
        <f>S10-S12</f>
        <v>690.43800000000022</v>
      </c>
      <c r="T13" s="81">
        <f>T10-T12</f>
        <v>3029.0200500000005</v>
      </c>
      <c r="U13" s="64"/>
    </row>
    <row r="14" spans="1:30" s="27" customFormat="1" ht="15.75" customHeight="1">
      <c r="A14" s="50" t="s">
        <v>70</v>
      </c>
      <c r="B14" s="99">
        <f t="shared" ref="B14:E14" si="11">B12*B13</f>
        <v>0</v>
      </c>
      <c r="C14" s="104">
        <f t="shared" si="11"/>
        <v>0</v>
      </c>
      <c r="D14" s="104">
        <f t="shared" si="11"/>
        <v>0</v>
      </c>
      <c r="E14" s="104">
        <f t="shared" si="11"/>
        <v>0</v>
      </c>
      <c r="F14" s="104">
        <f>F12*F13</f>
        <v>0</v>
      </c>
      <c r="G14" s="104">
        <f t="shared" ref="G14:M14" si="12">G12*G13</f>
        <v>0</v>
      </c>
      <c r="H14" s="104">
        <f t="shared" si="12"/>
        <v>20</v>
      </c>
      <c r="I14" s="104">
        <f t="shared" si="12"/>
        <v>20</v>
      </c>
      <c r="J14" s="104">
        <f t="shared" si="12"/>
        <v>25</v>
      </c>
      <c r="K14" s="104">
        <f t="shared" si="12"/>
        <v>25</v>
      </c>
      <c r="L14" s="104">
        <f t="shared" si="12"/>
        <v>25</v>
      </c>
      <c r="M14" s="104">
        <f t="shared" si="12"/>
        <v>25</v>
      </c>
      <c r="N14" s="104"/>
      <c r="O14" s="104">
        <f>SUM(F14:I14)</f>
        <v>40</v>
      </c>
      <c r="P14" s="104">
        <f>SUM(J14:M14)</f>
        <v>100</v>
      </c>
      <c r="Q14" s="101"/>
      <c r="R14" s="72" t="s">
        <v>20</v>
      </c>
      <c r="S14" s="85">
        <v>1271</v>
      </c>
      <c r="T14" s="86">
        <v>1271</v>
      </c>
      <c r="U14" s="65"/>
    </row>
    <row r="15" spans="1:30" ht="15.75" customHeight="1">
      <c r="A15" s="56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35"/>
      <c r="R15" s="87" t="s">
        <v>21</v>
      </c>
      <c r="S15" s="88">
        <f>S13/S14*10</f>
        <v>5.4322423288749029</v>
      </c>
      <c r="T15" s="89">
        <f>T13/T14*10</f>
        <v>23.831786388670345</v>
      </c>
      <c r="U15" s="35"/>
    </row>
    <row r="16" spans="1:30" ht="15.75" customHeight="1">
      <c r="A16" s="57" t="s">
        <v>77</v>
      </c>
      <c r="B16" s="3"/>
      <c r="C16" s="3"/>
      <c r="D16" s="3"/>
      <c r="E16" s="3"/>
      <c r="F16" s="3"/>
      <c r="G16" s="3"/>
      <c r="H16" s="38"/>
      <c r="I16" s="29"/>
      <c r="J16" s="29"/>
      <c r="K16" s="29"/>
      <c r="L16" s="29"/>
      <c r="M16" s="29"/>
      <c r="N16" s="3"/>
      <c r="O16" s="3"/>
      <c r="P16" s="3"/>
      <c r="Q16" s="62"/>
      <c r="U16" s="62"/>
      <c r="V16" s="5"/>
      <c r="W16" s="5"/>
      <c r="X16" s="5"/>
      <c r="Y16" s="5"/>
      <c r="Z16" s="5"/>
      <c r="AA16" s="5"/>
      <c r="AB16" s="5"/>
      <c r="AC16" s="5"/>
      <c r="AD16" s="5"/>
    </row>
    <row r="17" spans="1:30" ht="15.75" customHeight="1">
      <c r="A17" s="9"/>
      <c r="B17" s="3"/>
      <c r="C17" s="3"/>
      <c r="D17" s="3"/>
      <c r="E17" s="3"/>
      <c r="F17" s="3"/>
      <c r="G17" s="3"/>
      <c r="H17" s="38"/>
      <c r="I17" s="29"/>
      <c r="J17" s="3"/>
      <c r="K17" s="3"/>
      <c r="L17" s="3"/>
      <c r="M17" s="3"/>
      <c r="N17" s="3"/>
      <c r="O17" s="3"/>
      <c r="P17" s="3"/>
      <c r="Q17" s="63"/>
      <c r="U17" s="63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ht="15.75" customHeight="1">
      <c r="A18" s="9"/>
      <c r="B18" s="3"/>
      <c r="C18" s="3"/>
      <c r="D18" s="3"/>
      <c r="E18" s="3"/>
      <c r="F18" s="3"/>
      <c r="G18" s="3"/>
      <c r="H18" s="38"/>
      <c r="I18" s="29"/>
      <c r="J18" s="3"/>
      <c r="K18" s="3"/>
      <c r="L18" s="3"/>
      <c r="M18" s="3"/>
      <c r="N18" s="3"/>
      <c r="O18" s="3"/>
      <c r="P18" s="3"/>
      <c r="Q18" s="63"/>
      <c r="U18" s="63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ht="15.75" customHeight="1">
      <c r="A19" s="9"/>
      <c r="B19" s="3"/>
      <c r="C19" s="3"/>
      <c r="D19" s="3"/>
      <c r="E19" s="3"/>
      <c r="F19" s="3"/>
      <c r="G19" s="3"/>
      <c r="H19" s="38"/>
      <c r="I19" s="29"/>
      <c r="J19" s="3"/>
      <c r="K19" s="3"/>
      <c r="L19" s="3"/>
      <c r="M19" s="3"/>
      <c r="N19" s="3"/>
      <c r="O19" s="3"/>
      <c r="P19" s="3"/>
      <c r="Q19" s="63"/>
      <c r="U19" s="63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ht="15.75" customHeight="1">
      <c r="A20" s="9"/>
      <c r="B20" s="3"/>
      <c r="C20" s="3"/>
      <c r="D20" s="3"/>
      <c r="E20" s="3"/>
      <c r="F20" s="3"/>
      <c r="G20" s="3"/>
      <c r="H20" s="38"/>
      <c r="I20" s="29"/>
      <c r="J20" s="3"/>
      <c r="K20" s="3"/>
      <c r="L20" s="3"/>
      <c r="M20" s="3"/>
      <c r="N20" s="3"/>
      <c r="O20" s="3"/>
      <c r="P20" s="3"/>
      <c r="Q20" s="63"/>
      <c r="U20" s="63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>
      <c r="A21" s="9"/>
      <c r="B21" s="3"/>
      <c r="C21" s="3"/>
      <c r="D21" s="3"/>
      <c r="E21" s="3"/>
      <c r="F21" s="3"/>
      <c r="G21" s="3"/>
      <c r="H21" s="38"/>
      <c r="I21" s="29"/>
      <c r="J21" s="3"/>
      <c r="K21" s="3"/>
      <c r="L21" s="3"/>
      <c r="M21" s="3"/>
      <c r="N21" s="3"/>
      <c r="O21" s="3"/>
      <c r="P21" s="3"/>
      <c r="Q21" s="63"/>
      <c r="U21" s="63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>
      <c r="A22" s="9"/>
      <c r="B22" s="3"/>
      <c r="C22" s="3"/>
      <c r="D22" s="3"/>
      <c r="E22" s="3"/>
      <c r="F22" s="3"/>
      <c r="G22" s="3"/>
      <c r="H22" s="38"/>
      <c r="I22" s="29"/>
      <c r="J22" s="3"/>
      <c r="K22" s="3"/>
      <c r="L22" s="3"/>
      <c r="M22" s="3"/>
      <c r="N22" s="3"/>
      <c r="O22" s="3"/>
      <c r="P22" s="3"/>
      <c r="Q22" s="63"/>
      <c r="U22" s="63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>
      <c r="A23" s="8"/>
      <c r="B23" s="8"/>
      <c r="C23" s="8"/>
      <c r="D23" s="8"/>
      <c r="E23" s="8"/>
      <c r="F23" s="8"/>
      <c r="G23" s="8"/>
      <c r="H23" s="39"/>
      <c r="I23" s="31"/>
      <c r="J23" s="8"/>
      <c r="K23" s="8"/>
      <c r="L23" s="8"/>
      <c r="M23" s="8"/>
      <c r="N23" s="8"/>
      <c r="O23" s="8"/>
      <c r="P23" s="8"/>
      <c r="Q23" s="35"/>
      <c r="U23" s="35"/>
      <c r="W23" t="s">
        <v>39</v>
      </c>
    </row>
    <row r="24" spans="1:30" ht="15.75" customHeight="1">
      <c r="A24" s="1" t="s">
        <v>10</v>
      </c>
      <c r="B24" s="11"/>
      <c r="C24" s="11"/>
      <c r="D24" s="11"/>
      <c r="E24" s="11"/>
      <c r="F24" s="11"/>
      <c r="G24" s="11"/>
      <c r="H24" s="40"/>
      <c r="I24" s="32"/>
      <c r="J24" s="11"/>
      <c r="K24" s="11"/>
      <c r="L24" s="11"/>
      <c r="M24" s="11"/>
      <c r="N24" s="8"/>
      <c r="O24" s="8"/>
      <c r="P24" s="8"/>
      <c r="R24" s="10"/>
      <c r="W24" s="49" t="s">
        <v>40</v>
      </c>
    </row>
    <row r="25" spans="1:30" ht="15.75" customHeight="1">
      <c r="A25" s="6" t="s">
        <v>11</v>
      </c>
      <c r="B25" s="12" t="e">
        <f>(#REF!*B26+B32*B17)/B2</f>
        <v>#REF!</v>
      </c>
      <c r="C25" s="12" t="e">
        <f>(#REF!*C26+C32*C17)/C2</f>
        <v>#REF!</v>
      </c>
      <c r="D25" s="12" t="e">
        <f>(#REF!*D26+D32*D17)/D2</f>
        <v>#REF!</v>
      </c>
      <c r="E25" s="12" t="e">
        <f>(#REF!*E26+E32*E17)/E2</f>
        <v>#REF!</v>
      </c>
      <c r="F25" s="12" t="e">
        <f>(#REF!*F26+F32*F17)/F2</f>
        <v>#REF!</v>
      </c>
      <c r="G25" s="12" t="e">
        <f>(#REF!*G26+G32*G17)/G2</f>
        <v>#REF!</v>
      </c>
      <c r="H25" s="41" t="e">
        <f>(#REF!*H26+H32*H17)/H2</f>
        <v>#REF!</v>
      </c>
      <c r="I25" s="33" t="e">
        <f>(#REF!*I26+I32*I17)/I2</f>
        <v>#REF!</v>
      </c>
      <c r="J25" s="33" t="e">
        <f>(#REF!*J26+J32*J17)/J2</f>
        <v>#REF!</v>
      </c>
      <c r="K25" s="33" t="e">
        <f>(#REF!*K26+K32*K17)/K2</f>
        <v>#REF!</v>
      </c>
      <c r="L25" s="33" t="e">
        <f>(#REF!*L26+L32*L17)/L2</f>
        <v>#REF!</v>
      </c>
      <c r="M25" s="33" t="e">
        <f>(#REF!*M26+M32*M17)/M2</f>
        <v>#REF!</v>
      </c>
      <c r="N25" s="12" t="e">
        <f>(#REF!*N26+N32*N17)/N2</f>
        <v>#REF!</v>
      </c>
      <c r="O25" s="12" t="e">
        <f>(#REF!*O26+O32*O17)/O2</f>
        <v>#REF!</v>
      </c>
      <c r="P25" s="12" t="e">
        <f>(#REF!*P26+P32*P17)/P2</f>
        <v>#REF!</v>
      </c>
      <c r="R25" s="10"/>
      <c r="S25" s="49" t="s">
        <v>84</v>
      </c>
      <c r="W25" t="s">
        <v>41</v>
      </c>
    </row>
    <row r="26" spans="1:30" ht="15.75" customHeight="1">
      <c r="A26" s="2" t="s">
        <v>71</v>
      </c>
      <c r="B26" s="12">
        <v>0.55000000000000004</v>
      </c>
      <c r="C26" s="12">
        <v>0.55000000000000004</v>
      </c>
      <c r="D26" s="12">
        <v>0.55000000000000004</v>
      </c>
      <c r="E26" s="12">
        <v>0.55000000000000004</v>
      </c>
      <c r="F26" s="12">
        <v>0.55000000000000004</v>
      </c>
      <c r="G26" s="12">
        <v>0.55000000000000004</v>
      </c>
      <c r="H26" s="12">
        <v>0.55000000000000004</v>
      </c>
      <c r="I26" s="12">
        <v>0.55000000000000004</v>
      </c>
      <c r="J26" s="12">
        <v>0.55000000000000004</v>
      </c>
      <c r="K26" s="12">
        <v>0.55000000000000004</v>
      </c>
      <c r="L26" s="12">
        <v>0.55000000000000004</v>
      </c>
      <c r="M26" s="12">
        <v>0.55000000000000004</v>
      </c>
      <c r="N26" s="12"/>
      <c r="O26" s="12"/>
      <c r="P26" s="12"/>
      <c r="S26" t="s">
        <v>85</v>
      </c>
      <c r="W26" t="s">
        <v>42</v>
      </c>
    </row>
    <row r="27" spans="1:30" ht="15.75" customHeight="1">
      <c r="A27" s="2" t="s">
        <v>80</v>
      </c>
      <c r="B27" s="12"/>
      <c r="C27" s="12"/>
      <c r="D27" s="12"/>
      <c r="E27" s="12"/>
      <c r="F27" s="12"/>
      <c r="G27" s="12"/>
      <c r="H27" s="41"/>
      <c r="I27" s="33"/>
      <c r="J27" s="33"/>
      <c r="K27" s="33"/>
      <c r="L27" s="33"/>
      <c r="M27" s="33"/>
      <c r="N27" s="12"/>
      <c r="O27" s="12"/>
      <c r="P27" s="12"/>
      <c r="W27" t="s">
        <v>43</v>
      </c>
    </row>
    <row r="28" spans="1:30" ht="15.75" customHeight="1">
      <c r="A28" s="6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W28" t="s">
        <v>44</v>
      </c>
    </row>
    <row r="29" spans="1:30" ht="15.75" customHeight="1">
      <c r="A29" s="6"/>
      <c r="B29" s="13"/>
      <c r="C29" s="13"/>
      <c r="D29" s="13"/>
      <c r="E29" s="13"/>
      <c r="F29" s="13"/>
      <c r="G29" s="13"/>
      <c r="H29" s="42"/>
      <c r="I29" s="34"/>
      <c r="J29" s="34"/>
      <c r="K29" s="34"/>
      <c r="L29" s="34"/>
      <c r="M29" s="34"/>
      <c r="N29" s="13"/>
      <c r="O29" s="13"/>
      <c r="P29" s="13"/>
      <c r="W29" t="s">
        <v>45</v>
      </c>
    </row>
    <row r="30" spans="1:30" ht="15.75" customHeight="1">
      <c r="A30" s="6">
        <f ca="1">A30:P32</f>
        <v>0</v>
      </c>
      <c r="B30" s="42"/>
      <c r="C30" s="42"/>
      <c r="D30" s="42"/>
      <c r="E30" s="42"/>
      <c r="F30" s="42"/>
      <c r="G30" s="42"/>
      <c r="H30" s="42"/>
      <c r="I30" s="34"/>
      <c r="J30" s="34"/>
      <c r="K30" s="13"/>
      <c r="L30" s="13"/>
      <c r="M30" s="13"/>
      <c r="N30" s="13"/>
      <c r="O30" s="13"/>
      <c r="P30" s="13"/>
      <c r="W30" t="s">
        <v>46</v>
      </c>
    </row>
    <row r="31" spans="1:30" ht="15.75" customHeight="1">
      <c r="A31" s="6"/>
      <c r="B31" s="12"/>
      <c r="C31" s="12"/>
      <c r="D31" s="12"/>
      <c r="E31" s="12"/>
      <c r="F31" s="12"/>
      <c r="G31" s="12"/>
      <c r="H31" s="41"/>
      <c r="I31" s="33"/>
      <c r="J31" s="33"/>
      <c r="K31" s="33"/>
      <c r="L31" s="33"/>
      <c r="M31" s="33"/>
      <c r="N31" s="12"/>
      <c r="O31" s="12"/>
      <c r="P31" s="12"/>
      <c r="W31" t="s">
        <v>47</v>
      </c>
    </row>
    <row r="32" spans="1:30" ht="15.75" customHeight="1">
      <c r="A32" s="2"/>
      <c r="B32" s="12"/>
      <c r="C32" s="12"/>
      <c r="D32" s="12"/>
      <c r="E32" s="12"/>
      <c r="F32" s="12"/>
      <c r="G32" s="12"/>
      <c r="H32" s="41"/>
      <c r="I32" s="33"/>
      <c r="J32" s="33"/>
      <c r="K32" s="33"/>
      <c r="L32" s="33"/>
      <c r="M32" s="33"/>
      <c r="N32" s="12"/>
      <c r="O32" s="12"/>
      <c r="P32" s="12"/>
      <c r="W32" t="s">
        <v>48</v>
      </c>
    </row>
    <row r="33" spans="1:30" ht="15.75" customHeight="1">
      <c r="A33" s="8"/>
      <c r="B33" s="8"/>
      <c r="C33" s="8"/>
      <c r="D33" s="8"/>
      <c r="E33" s="8"/>
      <c r="F33" s="8"/>
      <c r="G33" s="8"/>
      <c r="H33" s="39"/>
      <c r="I33" s="31"/>
      <c r="J33" s="8"/>
      <c r="K33" s="8"/>
      <c r="L33" s="8"/>
      <c r="M33" s="8"/>
      <c r="N33" s="8"/>
      <c r="O33" s="8"/>
      <c r="P33" s="8"/>
      <c r="W33" t="s">
        <v>49</v>
      </c>
    </row>
    <row r="34" spans="1:30" ht="15.75" customHeight="1">
      <c r="A34" s="1" t="s">
        <v>12</v>
      </c>
      <c r="B34" s="8"/>
      <c r="C34" s="8"/>
      <c r="D34" s="8"/>
      <c r="E34" s="8"/>
      <c r="F34" s="8"/>
      <c r="G34" s="8"/>
      <c r="H34" s="39"/>
      <c r="I34" s="31"/>
      <c r="J34" s="8"/>
      <c r="K34" s="8"/>
      <c r="L34" s="8"/>
      <c r="M34" s="8"/>
      <c r="N34" s="8"/>
      <c r="O34" s="8"/>
      <c r="P34" s="8"/>
      <c r="W34" t="s">
        <v>50</v>
      </c>
    </row>
    <row r="35" spans="1:30" ht="15.75" customHeight="1">
      <c r="A35" s="14" t="s">
        <v>4</v>
      </c>
      <c r="B35" s="11">
        <v>0.45</v>
      </c>
      <c r="C35" s="11">
        <v>0.5</v>
      </c>
      <c r="D35" s="11">
        <v>0.5</v>
      </c>
      <c r="E35" s="11">
        <v>0.53</v>
      </c>
      <c r="F35" s="11" t="e">
        <f>#REF!/F2</f>
        <v>#REF!</v>
      </c>
      <c r="G35" s="11" t="e">
        <f>#REF!/G2</f>
        <v>#REF!</v>
      </c>
      <c r="H35" s="40" t="e">
        <f>#REF!/H2</f>
        <v>#REF!</v>
      </c>
      <c r="I35" s="32" t="e">
        <f>#REF!/I2</f>
        <v>#REF!</v>
      </c>
      <c r="J35" s="32" t="e">
        <f>#REF!/J2</f>
        <v>#REF!</v>
      </c>
      <c r="K35" s="32" t="e">
        <f>#REF!/K2</f>
        <v>#REF!</v>
      </c>
      <c r="L35" s="32" t="e">
        <f>#REF!/L2</f>
        <v>#REF!</v>
      </c>
      <c r="M35" s="32" t="e">
        <f>#REF!/M2</f>
        <v>#REF!</v>
      </c>
      <c r="N35" s="11" t="e">
        <f>#REF!/N2</f>
        <v>#REF!</v>
      </c>
      <c r="O35" s="11" t="e">
        <f>#REF!/O2</f>
        <v>#REF!</v>
      </c>
      <c r="P35" s="11" t="e">
        <f>#REF!/P2</f>
        <v>#REF!</v>
      </c>
      <c r="Q35" s="15"/>
      <c r="S35" s="15"/>
      <c r="T35" s="15"/>
      <c r="U35" s="15"/>
      <c r="V35" s="15"/>
      <c r="W35" s="15" t="s">
        <v>51</v>
      </c>
      <c r="X35" s="15"/>
      <c r="Y35" s="15"/>
      <c r="Z35" s="15"/>
      <c r="AA35" s="15"/>
      <c r="AB35" s="15"/>
      <c r="AC35" s="15"/>
      <c r="AD35" s="15"/>
    </row>
    <row r="36" spans="1:30" ht="15.75" customHeight="1">
      <c r="A36" s="16" t="s">
        <v>5</v>
      </c>
      <c r="B36" s="11">
        <f>B37+B38</f>
        <v>0.09</v>
      </c>
      <c r="C36" s="11">
        <f>C37+C38</f>
        <v>0.15</v>
      </c>
      <c r="D36" s="11">
        <f>D37+D38</f>
        <v>0.15</v>
      </c>
      <c r="E36" s="11">
        <f>E37+E38</f>
        <v>0.1855</v>
      </c>
      <c r="F36" s="11" t="e">
        <f>#REF!/F2</f>
        <v>#REF!</v>
      </c>
      <c r="G36" s="11" t="e">
        <f>#REF!/$G$2</f>
        <v>#REF!</v>
      </c>
      <c r="H36" s="40" t="e">
        <f>#REF!/$H$2</f>
        <v>#REF!</v>
      </c>
      <c r="I36" s="32" t="e">
        <f>#REF!/I2</f>
        <v>#REF!</v>
      </c>
      <c r="J36" s="32" t="e">
        <f>#REF!/J2</f>
        <v>#REF!</v>
      </c>
      <c r="K36" s="32" t="e">
        <f>#REF!/K2</f>
        <v>#REF!</v>
      </c>
      <c r="L36" s="32" t="e">
        <f>#REF!/L2</f>
        <v>#REF!</v>
      </c>
      <c r="M36" s="32" t="e">
        <f>#REF!/M2</f>
        <v>#REF!</v>
      </c>
      <c r="N36" s="11" t="e">
        <f>#REF!/N2</f>
        <v>#REF!</v>
      </c>
      <c r="O36" s="11" t="e">
        <f>#REF!/O2</f>
        <v>#REF!</v>
      </c>
      <c r="P36" s="11" t="e">
        <f>#REF!/P2</f>
        <v>#REF!</v>
      </c>
      <c r="Q36" s="15"/>
      <c r="S36" s="15"/>
      <c r="T36" s="15"/>
      <c r="U36" s="15"/>
      <c r="V36" s="15"/>
      <c r="W36" s="15" t="s">
        <v>52</v>
      </c>
      <c r="X36" s="15"/>
      <c r="Y36" s="15"/>
      <c r="Z36" s="15"/>
      <c r="AA36" s="15"/>
      <c r="AB36" s="15"/>
      <c r="AC36" s="15"/>
      <c r="AD36" s="15"/>
    </row>
    <row r="37" spans="1:30" ht="15.75" customHeight="1">
      <c r="A37" s="17" t="s">
        <v>6</v>
      </c>
      <c r="B37" s="11">
        <v>0.09</v>
      </c>
      <c r="C37" s="11">
        <v>0.15</v>
      </c>
      <c r="D37" s="11">
        <v>0.15</v>
      </c>
      <c r="E37" s="11">
        <f>E35*35%</f>
        <v>0.1855</v>
      </c>
      <c r="F37" s="11" t="e">
        <f>F3/F2</f>
        <v>#DIV/0!</v>
      </c>
      <c r="G37" s="11" t="e">
        <f>G3/$G$2</f>
        <v>#DIV/0!</v>
      </c>
      <c r="H37" s="40">
        <f>H3/$H$2</f>
        <v>93.360995850622402</v>
      </c>
      <c r="I37" s="32">
        <f t="shared" ref="I37:P37" si="13">I3/I2</f>
        <v>93.690851735015769</v>
      </c>
      <c r="J37" s="32">
        <f t="shared" si="13"/>
        <v>92.7159209157128</v>
      </c>
      <c r="K37" s="32">
        <f t="shared" si="13"/>
        <v>94.708194738433619</v>
      </c>
      <c r="L37" s="32">
        <f t="shared" si="13"/>
        <v>96.162112373349714</v>
      </c>
      <c r="M37" s="32">
        <f t="shared" si="13"/>
        <v>97.388059701492537</v>
      </c>
      <c r="N37" s="11" t="e">
        <f t="shared" si="13"/>
        <v>#DIV/0!</v>
      </c>
      <c r="O37" s="11">
        <f t="shared" si="13"/>
        <v>93.536711478800413</v>
      </c>
      <c r="P37" s="11">
        <f t="shared" si="13"/>
        <v>95.874903502206934</v>
      </c>
      <c r="Q37" s="15"/>
      <c r="S37" s="15"/>
      <c r="T37" s="15"/>
      <c r="U37" s="15"/>
      <c r="V37" s="15"/>
      <c r="W37" s="15" t="s">
        <v>53</v>
      </c>
      <c r="X37" s="15"/>
      <c r="Y37" s="15"/>
      <c r="Z37" s="15"/>
      <c r="AA37" s="15"/>
      <c r="AB37" s="15"/>
      <c r="AC37" s="15"/>
      <c r="AD37" s="15"/>
    </row>
    <row r="38" spans="1:30" ht="15.75" customHeight="1">
      <c r="A38" s="17" t="s">
        <v>7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 t="e">
        <f>G10/$G$2</f>
        <v>#DIV/0!</v>
      </c>
      <c r="H38" s="40">
        <f>H10/$H$2</f>
        <v>6.6390041493775938</v>
      </c>
      <c r="I38" s="32">
        <f>I10/I$2</f>
        <v>6.309148264984227</v>
      </c>
      <c r="J38" s="32">
        <f>J10/J$2</f>
        <v>7.2840790842871996</v>
      </c>
      <c r="K38" s="32">
        <f>K10/K$2</f>
        <v>5.291805261566374</v>
      </c>
      <c r="L38" s="32">
        <f>L10/L$2</f>
        <v>3.8378876266502928</v>
      </c>
      <c r="M38" s="32">
        <f>M10/M$2</f>
        <v>2.6119402985074629</v>
      </c>
      <c r="N38" s="11">
        <v>0</v>
      </c>
      <c r="O38" s="11">
        <v>0</v>
      </c>
      <c r="P38" s="11">
        <v>0</v>
      </c>
      <c r="Q38" s="15"/>
      <c r="R38" s="15"/>
      <c r="S38" s="15"/>
      <c r="T38" s="15"/>
      <c r="U38" s="15"/>
      <c r="V38" s="15"/>
      <c r="W38" s="15" t="s">
        <v>54</v>
      </c>
      <c r="X38" s="15"/>
      <c r="Y38" s="15"/>
      <c r="Z38" s="15"/>
      <c r="AA38" s="15"/>
      <c r="AB38" s="15"/>
      <c r="AC38" s="15"/>
      <c r="AD38" s="15"/>
    </row>
    <row r="39" spans="1:30" ht="15.75" customHeight="1">
      <c r="A39" s="17" t="s">
        <v>30</v>
      </c>
      <c r="B39" s="11" t="e">
        <f>B13/B2</f>
        <v>#DIV/0!</v>
      </c>
      <c r="C39" s="11" t="e">
        <f>C13/C2</f>
        <v>#DIV/0!</v>
      </c>
      <c r="D39" s="11" t="e">
        <f>D13/D2</f>
        <v>#DIV/0!</v>
      </c>
      <c r="E39" s="11" t="e">
        <f>E13/E2</f>
        <v>#DIV/0!</v>
      </c>
      <c r="F39" s="11" t="e">
        <f>F13/F2</f>
        <v>#DIV/0!</v>
      </c>
      <c r="G39" s="11" t="e">
        <f>G13/$G$2</f>
        <v>#DIV/0!</v>
      </c>
      <c r="H39" s="40">
        <f>H13/$H$2</f>
        <v>9.2208390963577683E-4</v>
      </c>
      <c r="I39" s="32">
        <f>I13/I$2</f>
        <v>8.0886516217746501E-4</v>
      </c>
      <c r="J39" s="32">
        <f>J13/J$2</f>
        <v>6.9372181755116187E-4</v>
      </c>
      <c r="K39" s="32">
        <f>K13/K$2</f>
        <v>5.0398145348251188E-4</v>
      </c>
      <c r="L39" s="32">
        <f>L13/L$2</f>
        <v>3.6551310730002789E-4</v>
      </c>
      <c r="M39" s="32">
        <f>M13/M$2</f>
        <v>2.4875621890547262E-4</v>
      </c>
      <c r="N39" s="11"/>
      <c r="O39" s="11"/>
      <c r="P39" s="11"/>
      <c r="Q39" s="15"/>
      <c r="R39" s="15"/>
      <c r="S39" s="15"/>
      <c r="T39" s="15"/>
      <c r="U39" s="15"/>
      <c r="V39" s="15"/>
      <c r="W39" s="15" t="s">
        <v>55</v>
      </c>
      <c r="X39" s="15"/>
      <c r="Y39" s="15"/>
      <c r="Z39" s="15"/>
      <c r="AA39" s="15"/>
      <c r="AB39" s="15"/>
      <c r="AC39" s="15"/>
      <c r="AD39" s="15"/>
    </row>
    <row r="40" spans="1:30" ht="15.75" customHeight="1">
      <c r="A40" s="18" t="s">
        <v>8</v>
      </c>
      <c r="B40" s="11">
        <v>0.36</v>
      </c>
      <c r="C40" s="11">
        <v>0.35</v>
      </c>
      <c r="D40" s="11">
        <v>0.35</v>
      </c>
      <c r="E40" s="11">
        <f>E35-E36</f>
        <v>0.34450000000000003</v>
      </c>
      <c r="F40" s="11" t="e">
        <f>F35-F36</f>
        <v>#REF!</v>
      </c>
      <c r="G40" s="11" t="e">
        <f>G16/$G$2</f>
        <v>#DIV/0!</v>
      </c>
      <c r="H40" s="40">
        <f>H16/$H$2</f>
        <v>0</v>
      </c>
      <c r="I40" s="32">
        <f t="shared" ref="I40:M41" si="14">I16/I$2</f>
        <v>0</v>
      </c>
      <c r="J40" s="32">
        <f t="shared" si="14"/>
        <v>0</v>
      </c>
      <c r="K40" s="32">
        <f t="shared" si="14"/>
        <v>0</v>
      </c>
      <c r="L40" s="32">
        <f t="shared" si="14"/>
        <v>0</v>
      </c>
      <c r="M40" s="32">
        <f t="shared" si="14"/>
        <v>0</v>
      </c>
      <c r="N40" s="11" t="e">
        <f>N35-N36</f>
        <v>#REF!</v>
      </c>
      <c r="O40" s="11" t="e">
        <f>O35-O36</f>
        <v>#REF!</v>
      </c>
      <c r="P40" s="11" t="e">
        <f>P35-P36</f>
        <v>#REF!</v>
      </c>
      <c r="Q40" s="15"/>
      <c r="R40" s="15"/>
      <c r="S40" s="15"/>
      <c r="T40" s="15"/>
      <c r="U40" s="15"/>
      <c r="V40" s="15"/>
      <c r="W40" s="15" t="s">
        <v>56</v>
      </c>
      <c r="X40" s="15"/>
      <c r="Y40" s="15"/>
      <c r="Z40" s="15"/>
      <c r="AA40" s="15"/>
      <c r="AB40" s="15"/>
      <c r="AC40" s="15"/>
      <c r="AD40" s="15"/>
    </row>
    <row r="41" spans="1:30" ht="15.75" customHeight="1">
      <c r="A41" s="14" t="s">
        <v>9</v>
      </c>
      <c r="B41" s="11">
        <v>0.55000000000000004</v>
      </c>
      <c r="C41" s="11">
        <v>0.5</v>
      </c>
      <c r="D41" s="11">
        <v>0.5</v>
      </c>
      <c r="E41" s="11">
        <v>0.47</v>
      </c>
      <c r="F41" s="11" t="e">
        <f>F17/F2</f>
        <v>#DIV/0!</v>
      </c>
      <c r="G41" s="11" t="e">
        <f>G17/$G$2</f>
        <v>#DIV/0!</v>
      </c>
      <c r="H41" s="40">
        <f>H17/$H$2</f>
        <v>0</v>
      </c>
      <c r="I41" s="32">
        <f t="shared" si="14"/>
        <v>0</v>
      </c>
      <c r="J41" s="32">
        <f t="shared" si="14"/>
        <v>0</v>
      </c>
      <c r="K41" s="32">
        <f t="shared" si="14"/>
        <v>0</v>
      </c>
      <c r="L41" s="32">
        <f t="shared" si="14"/>
        <v>0</v>
      </c>
      <c r="M41" s="32">
        <f t="shared" si="14"/>
        <v>0</v>
      </c>
      <c r="N41" s="11" t="e">
        <f>N17/N2</f>
        <v>#DIV/0!</v>
      </c>
      <c r="O41" s="11">
        <f>O17/O2</f>
        <v>0</v>
      </c>
      <c r="P41" s="11">
        <f>P17/P2</f>
        <v>0</v>
      </c>
      <c r="Q41" s="15"/>
      <c r="R41" s="15"/>
      <c r="S41" s="15"/>
      <c r="T41" s="15"/>
      <c r="U41" s="15"/>
      <c r="V41" s="15"/>
      <c r="W41" s="15" t="s">
        <v>57</v>
      </c>
      <c r="X41" s="15"/>
      <c r="Y41" s="15"/>
      <c r="Z41" s="15"/>
      <c r="AA41" s="15"/>
      <c r="AB41" s="15"/>
      <c r="AC41" s="15"/>
      <c r="AD41" s="15"/>
    </row>
    <row r="42" spans="1:30" ht="15.75" customHeight="1">
      <c r="A42" s="8"/>
      <c r="B42" s="11">
        <f t="shared" ref="B42:I42" si="15">B35+B41</f>
        <v>1</v>
      </c>
      <c r="C42" s="11">
        <f t="shared" si="15"/>
        <v>1</v>
      </c>
      <c r="D42" s="11">
        <f t="shared" si="15"/>
        <v>1</v>
      </c>
      <c r="E42" s="11">
        <f t="shared" si="15"/>
        <v>1</v>
      </c>
      <c r="F42" s="11" t="e">
        <f t="shared" si="15"/>
        <v>#REF!</v>
      </c>
      <c r="G42" s="11" t="e">
        <f t="shared" si="15"/>
        <v>#REF!</v>
      </c>
      <c r="H42" s="40" t="e">
        <f t="shared" si="15"/>
        <v>#REF!</v>
      </c>
      <c r="I42" s="32" t="e">
        <f t="shared" si="15"/>
        <v>#REF!</v>
      </c>
      <c r="J42" s="32" t="e">
        <f t="shared" ref="J42:M42" si="16">J35+J41</f>
        <v>#REF!</v>
      </c>
      <c r="K42" s="32" t="e">
        <f t="shared" si="16"/>
        <v>#REF!</v>
      </c>
      <c r="L42" s="32" t="e">
        <f t="shared" si="16"/>
        <v>#REF!</v>
      </c>
      <c r="M42" s="32" t="e">
        <f t="shared" si="16"/>
        <v>#REF!</v>
      </c>
      <c r="N42" s="11" t="e">
        <f>N35+N41</f>
        <v>#REF!</v>
      </c>
      <c r="O42" s="11" t="e">
        <f>O35+O41</f>
        <v>#REF!</v>
      </c>
      <c r="P42" s="11" t="e">
        <f>P35+P41</f>
        <v>#REF!</v>
      </c>
      <c r="R42" s="15"/>
      <c r="W42" t="s">
        <v>58</v>
      </c>
    </row>
    <row r="43" spans="1:30" ht="15.75" customHeight="1">
      <c r="A43" s="8"/>
      <c r="B43" s="11"/>
      <c r="C43" s="11"/>
      <c r="D43" s="11"/>
      <c r="E43" s="11"/>
      <c r="F43" s="11"/>
      <c r="G43" s="11"/>
      <c r="H43" s="40"/>
      <c r="I43" s="32"/>
      <c r="J43" s="32"/>
      <c r="K43" s="32"/>
      <c r="L43" s="32"/>
      <c r="M43" s="32"/>
      <c r="N43" s="11"/>
      <c r="O43" s="11"/>
      <c r="P43" s="11"/>
      <c r="R43" s="15"/>
    </row>
    <row r="44" spans="1:30" ht="15.75" customHeight="1">
      <c r="A44" s="8"/>
      <c r="B44" s="11"/>
      <c r="C44" s="11"/>
      <c r="D44" s="11"/>
      <c r="E44" s="11"/>
      <c r="F44" s="11"/>
      <c r="G44" s="11"/>
      <c r="H44" s="40"/>
      <c r="I44" s="32"/>
      <c r="J44" s="32"/>
      <c r="K44" s="32"/>
      <c r="L44" s="32"/>
      <c r="M44" s="32"/>
      <c r="N44" s="11"/>
      <c r="O44" s="11"/>
      <c r="P44" s="11"/>
      <c r="R44" s="15"/>
    </row>
    <row r="45" spans="1:30" ht="15.75" customHeight="1">
      <c r="A45" s="8"/>
      <c r="B45" s="11"/>
      <c r="C45" s="11"/>
      <c r="D45" s="11"/>
      <c r="E45" s="11"/>
      <c r="F45" s="11"/>
      <c r="G45" s="11"/>
      <c r="H45" s="40"/>
      <c r="I45" s="32"/>
      <c r="J45" s="32"/>
      <c r="K45" s="32"/>
      <c r="L45" s="32"/>
      <c r="M45" s="32"/>
      <c r="N45" s="11"/>
      <c r="O45" s="11"/>
      <c r="P45" s="11"/>
    </row>
    <row r="46" spans="1:30" ht="13.5">
      <c r="A46" s="58" t="s">
        <v>75</v>
      </c>
      <c r="B46" s="4"/>
      <c r="C46" s="4"/>
      <c r="D46" s="4">
        <v>231349</v>
      </c>
      <c r="E46" s="4"/>
      <c r="F46" s="8"/>
      <c r="G46" s="8"/>
      <c r="H46" s="39"/>
      <c r="I46" s="31"/>
      <c r="J46" s="8"/>
      <c r="K46" s="8"/>
      <c r="L46" s="8"/>
      <c r="M46" s="8"/>
      <c r="N46" s="8">
        <f>875391</f>
        <v>875391</v>
      </c>
      <c r="O46" s="4"/>
      <c r="P46" s="8"/>
      <c r="R46" s="8">
        <f>N46*2</f>
        <v>1750782</v>
      </c>
      <c r="W46" t="s">
        <v>59</v>
      </c>
    </row>
    <row r="47" spans="1:30" ht="13.5">
      <c r="A47" s="58" t="s">
        <v>76</v>
      </c>
      <c r="B47" s="4"/>
      <c r="C47" s="4"/>
      <c r="D47" s="4">
        <v>181702</v>
      </c>
      <c r="E47" s="4"/>
      <c r="F47" s="8"/>
      <c r="G47" s="8"/>
      <c r="H47" s="39"/>
      <c r="I47" s="31"/>
      <c r="J47" s="8"/>
      <c r="K47" s="8"/>
      <c r="L47" s="8"/>
      <c r="M47" s="8"/>
      <c r="N47" s="8">
        <v>705391</v>
      </c>
      <c r="O47" s="8"/>
      <c r="P47" s="8"/>
      <c r="R47">
        <f>R46-R48</f>
        <v>1400625.6</v>
      </c>
    </row>
    <row r="48" spans="1:30" ht="12.75">
      <c r="A48" s="20" t="s">
        <v>13</v>
      </c>
      <c r="B48" s="21"/>
      <c r="C48" s="21"/>
      <c r="D48" s="21">
        <v>49647</v>
      </c>
      <c r="E48" s="21"/>
      <c r="F48" s="21"/>
      <c r="G48" s="21"/>
      <c r="H48" s="43"/>
      <c r="I48" s="22"/>
      <c r="J48" s="22"/>
      <c r="K48" s="22"/>
      <c r="L48" s="22"/>
      <c r="M48" s="22"/>
      <c r="N48" s="21">
        <v>169960</v>
      </c>
      <c r="O48" s="19"/>
      <c r="P48" s="19">
        <f>SUM(J48:M48)</f>
        <v>0</v>
      </c>
      <c r="R48" s="8">
        <f>R46*20%</f>
        <v>350156.4</v>
      </c>
      <c r="W48" t="s">
        <v>60</v>
      </c>
    </row>
    <row r="49" spans="1:23" ht="12.75">
      <c r="A49" s="20" t="s">
        <v>14</v>
      </c>
      <c r="B49" s="3"/>
      <c r="C49" s="3"/>
      <c r="D49" s="3">
        <v>48306</v>
      </c>
      <c r="E49" s="3"/>
      <c r="F49" s="3"/>
      <c r="G49" s="3"/>
      <c r="H49" s="37"/>
      <c r="I49" s="4"/>
      <c r="J49" s="4"/>
      <c r="K49" s="4"/>
      <c r="L49" s="4"/>
      <c r="M49" s="4"/>
      <c r="N49" s="3">
        <v>196626</v>
      </c>
      <c r="O49" s="3"/>
      <c r="P49" s="46">
        <f>SUM(J49:M49)</f>
        <v>0</v>
      </c>
      <c r="R49" s="3">
        <f>R46*0.2</f>
        <v>350156.4</v>
      </c>
      <c r="W49" t="s">
        <v>61</v>
      </c>
    </row>
    <row r="50" spans="1:23" ht="12.75">
      <c r="A50" s="20" t="s">
        <v>15</v>
      </c>
      <c r="B50" s="3"/>
      <c r="C50" s="3"/>
      <c r="D50" s="3">
        <v>1341</v>
      </c>
      <c r="E50" s="3"/>
      <c r="F50" s="3"/>
      <c r="G50" s="3"/>
      <c r="H50" s="37"/>
      <c r="I50" s="28"/>
      <c r="J50" s="28"/>
      <c r="K50" s="28"/>
      <c r="L50" s="28"/>
      <c r="M50" s="28"/>
      <c r="N50" s="3">
        <f>N48-N49</f>
        <v>-26666</v>
      </c>
      <c r="O50" s="3"/>
      <c r="P50" s="46">
        <f t="shared" ref="P50:P54" si="17">SUM(J50:M50)</f>
        <v>0</v>
      </c>
      <c r="R50" s="3">
        <f>R48-R49</f>
        <v>0</v>
      </c>
      <c r="W50" t="s">
        <v>62</v>
      </c>
    </row>
    <row r="51" spans="1:23" ht="12.75">
      <c r="A51" s="20" t="s">
        <v>16</v>
      </c>
      <c r="B51" s="3"/>
      <c r="C51" s="3"/>
      <c r="D51" s="3">
        <v>-712</v>
      </c>
      <c r="E51" s="3"/>
      <c r="F51" s="3"/>
      <c r="G51" s="3"/>
      <c r="H51" s="37"/>
      <c r="I51" s="28"/>
      <c r="J51" s="28"/>
      <c r="K51" s="28"/>
      <c r="L51" s="28"/>
      <c r="M51" s="28"/>
      <c r="N51" s="3">
        <v>9096</v>
      </c>
      <c r="O51" s="3"/>
      <c r="P51" s="46">
        <f t="shared" si="17"/>
        <v>0</v>
      </c>
      <c r="R51" s="3"/>
      <c r="W51" t="s">
        <v>63</v>
      </c>
    </row>
    <row r="52" spans="1:23" ht="12.75">
      <c r="A52" s="20" t="s">
        <v>17</v>
      </c>
      <c r="B52" s="3"/>
      <c r="C52" s="3"/>
      <c r="D52" s="3">
        <f>D50+D51</f>
        <v>629</v>
      </c>
      <c r="E52" s="3"/>
      <c r="F52" s="3"/>
      <c r="G52" s="3"/>
      <c r="H52" s="38"/>
      <c r="I52" s="29"/>
      <c r="J52" s="29"/>
      <c r="K52" s="29"/>
      <c r="L52" s="29"/>
      <c r="M52" s="29"/>
      <c r="N52" s="3">
        <f>N50+N51</f>
        <v>-17570</v>
      </c>
      <c r="O52" s="3"/>
      <c r="P52" s="46">
        <f t="shared" si="17"/>
        <v>0</v>
      </c>
      <c r="R52" s="3"/>
      <c r="W52" t="s">
        <v>64</v>
      </c>
    </row>
    <row r="53" spans="1:23" ht="12.75">
      <c r="A53" s="20" t="s">
        <v>18</v>
      </c>
      <c r="B53" s="3"/>
      <c r="C53" s="3"/>
      <c r="D53" s="3">
        <v>0</v>
      </c>
      <c r="E53" s="3"/>
      <c r="F53" s="3"/>
      <c r="G53" s="3"/>
      <c r="H53" s="38"/>
      <c r="I53" s="29"/>
      <c r="J53" s="29"/>
      <c r="K53" s="29"/>
      <c r="L53" s="29"/>
      <c r="M53" s="29"/>
      <c r="N53" s="3">
        <v>3862</v>
      </c>
      <c r="O53" s="3"/>
      <c r="P53" s="46">
        <f t="shared" si="17"/>
        <v>0</v>
      </c>
      <c r="R53" s="3"/>
      <c r="W53" t="s">
        <v>65</v>
      </c>
    </row>
    <row r="54" spans="1:23" ht="12.75">
      <c r="A54" s="20" t="s">
        <v>19</v>
      </c>
      <c r="B54" s="3"/>
      <c r="C54" s="3"/>
      <c r="D54" s="3">
        <f>D52-D53</f>
        <v>629</v>
      </c>
      <c r="E54" s="3"/>
      <c r="F54" s="3"/>
      <c r="G54" s="3"/>
      <c r="H54" s="38"/>
      <c r="I54" s="29"/>
      <c r="J54" s="29"/>
      <c r="K54" s="29"/>
      <c r="L54" s="29"/>
      <c r="M54" s="29"/>
      <c r="N54" s="3">
        <f>N52-N53</f>
        <v>-21432</v>
      </c>
      <c r="O54" s="3"/>
      <c r="P54" s="46">
        <f t="shared" si="17"/>
        <v>0</v>
      </c>
      <c r="R54" s="3"/>
      <c r="W54" t="s">
        <v>66</v>
      </c>
    </row>
    <row r="55" spans="1:23" ht="12.75">
      <c r="A55" s="20" t="s">
        <v>20</v>
      </c>
      <c r="B55" s="3"/>
      <c r="C55" s="3"/>
      <c r="D55" s="3">
        <f>D54/D56</f>
        <v>62900</v>
      </c>
      <c r="E55" s="3"/>
      <c r="F55" s="3"/>
      <c r="G55" s="3"/>
      <c r="H55" s="38"/>
      <c r="I55" s="29"/>
      <c r="J55" s="3"/>
      <c r="K55" s="3"/>
      <c r="L55" s="3"/>
      <c r="M55" s="3"/>
      <c r="N55" s="59">
        <v>127100</v>
      </c>
      <c r="O55" s="3"/>
      <c r="P55" s="47">
        <f>5182</f>
        <v>5182</v>
      </c>
      <c r="R55" s="59"/>
      <c r="W55" t="s">
        <v>67</v>
      </c>
    </row>
    <row r="56" spans="1:23" ht="12.75">
      <c r="A56" s="23" t="s">
        <v>21</v>
      </c>
      <c r="B56" s="24"/>
      <c r="C56" s="24"/>
      <c r="D56" s="24">
        <f>0.01</f>
        <v>0.01</v>
      </c>
      <c r="E56" s="24"/>
      <c r="F56" s="24"/>
      <c r="G56" s="24"/>
      <c r="H56" s="44"/>
      <c r="I56" s="24"/>
      <c r="J56" s="24"/>
      <c r="K56" s="24"/>
      <c r="L56" s="24"/>
      <c r="M56" s="24"/>
      <c r="N56" s="24">
        <f>N54/N55</f>
        <v>-0.16862313139260424</v>
      </c>
      <c r="O56" s="25"/>
      <c r="P56" s="7">
        <f>P54/P55*10</f>
        <v>0</v>
      </c>
      <c r="R56" s="24"/>
    </row>
    <row r="57" spans="1:23" ht="12.75">
      <c r="A57" s="26" t="s">
        <v>22</v>
      </c>
      <c r="B57" s="12"/>
      <c r="C57" s="12"/>
      <c r="D57" s="12">
        <f>D48/D46</f>
        <v>0.21459785864646055</v>
      </c>
      <c r="E57" s="12"/>
      <c r="F57" s="12"/>
      <c r="G57" s="12"/>
      <c r="H57" s="41"/>
      <c r="I57" s="33"/>
      <c r="J57" s="33"/>
      <c r="K57" s="33"/>
      <c r="L57" s="33"/>
      <c r="M57" s="33"/>
      <c r="N57" s="12">
        <f>N48/N46</f>
        <v>0.19415324123734423</v>
      </c>
      <c r="O57" s="12"/>
      <c r="P57" s="12">
        <f>P48/P2</f>
        <v>0</v>
      </c>
      <c r="R57" s="12"/>
    </row>
    <row r="58" spans="1:23" ht="12.75">
      <c r="A58" s="26" t="s">
        <v>23</v>
      </c>
      <c r="B58" s="12"/>
      <c r="C58" s="12"/>
      <c r="D58" s="12">
        <f>D49/D46</f>
        <v>0.20880142122939802</v>
      </c>
      <c r="E58" s="12"/>
      <c r="F58" s="12"/>
      <c r="G58" s="12"/>
      <c r="H58" s="41"/>
      <c r="I58" s="33"/>
      <c r="J58" s="33"/>
      <c r="K58" s="33"/>
      <c r="L58" s="33"/>
      <c r="M58" s="33"/>
      <c r="N58" s="12">
        <f>N49/N46</f>
        <v>0.22461505772848933</v>
      </c>
      <c r="O58" s="12"/>
      <c r="P58" s="12">
        <f>P49/P2</f>
        <v>0</v>
      </c>
      <c r="R58" s="12"/>
    </row>
    <row r="59" spans="1:23" ht="12.75">
      <c r="A59" s="26" t="s">
        <v>24</v>
      </c>
      <c r="B59" s="12"/>
      <c r="C59" s="12"/>
      <c r="D59" s="12">
        <f>D50/D46</f>
        <v>5.7964374170625336E-3</v>
      </c>
      <c r="E59" s="12"/>
      <c r="F59" s="12"/>
      <c r="G59" s="12"/>
      <c r="H59" s="41"/>
      <c r="I59" s="33"/>
      <c r="J59" s="33"/>
      <c r="K59" s="33"/>
      <c r="L59" s="33"/>
      <c r="M59" s="33"/>
      <c r="N59" s="12">
        <f>N50/N46</f>
        <v>-3.0461816491145099E-2</v>
      </c>
      <c r="O59" s="12"/>
      <c r="P59" s="12">
        <f>P50/P2</f>
        <v>0</v>
      </c>
      <c r="R59" s="12"/>
    </row>
    <row r="60" spans="1:23" ht="12.75">
      <c r="A60" s="26" t="s">
        <v>25</v>
      </c>
      <c r="B60" s="12"/>
      <c r="C60" s="12"/>
      <c r="D60" s="12">
        <f>D54/D46</f>
        <v>2.7188360442448422E-3</v>
      </c>
      <c r="E60" s="12"/>
      <c r="F60" s="12"/>
      <c r="G60" s="12"/>
      <c r="H60" s="41"/>
      <c r="I60" s="33"/>
      <c r="J60" s="33"/>
      <c r="K60" s="33"/>
      <c r="L60" s="33"/>
      <c r="M60" s="33"/>
      <c r="N60" s="12">
        <f>N54/N46</f>
        <v>-2.4482773983282899E-2</v>
      </c>
      <c r="O60" s="12"/>
      <c r="P60" s="12">
        <f>P54/P2</f>
        <v>0</v>
      </c>
      <c r="R60" s="12"/>
    </row>
    <row r="62" spans="1:23" ht="15.75" customHeight="1">
      <c r="A62" s="48" t="s">
        <v>82</v>
      </c>
      <c r="N62">
        <f>N53/N46</f>
        <v>4.4117428669017619E-3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Adam</cp:lastModifiedBy>
  <dcterms:modified xsi:type="dcterms:W3CDTF">2026-04-07T05:47:24Z</dcterms:modified>
</cp:coreProperties>
</file>