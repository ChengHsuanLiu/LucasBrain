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變量總覽" sheetId="1" state="visible" r:id="rId1"/>
    <sheet xmlns:r="http://schemas.openxmlformats.org/officeDocument/2006/relationships" name="1_輸入區" sheetId="2" state="visible" r:id="rId2"/>
    <sheet xmlns:r="http://schemas.openxmlformats.org/officeDocument/2006/relationships" name="2_EPS計算" sheetId="3" state="visible" r:id="rId3"/>
    <sheet xmlns:r="http://schemas.openxmlformats.org/officeDocument/2006/relationships" name="3_敏感度" sheetId="4" state="visible" r:id="rId4"/>
    <sheet xmlns:r="http://schemas.openxmlformats.org/officeDocument/2006/relationships" name="4_情境與檢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&quot;x&quot;"/>
    <numFmt numFmtId="167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A2540"/>
      <sz val="14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A2540"/>
      </patternFill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FFE4B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4" borderId="1" pivotButton="0" quotePrefix="0" xfId="0"/>
    <xf numFmtId="0" fontId="4" fillId="0" borderId="1" pivotButton="0" quotePrefix="0" xfId="0"/>
    <xf numFmtId="0" fontId="2" fillId="0" borderId="1" pivotButton="0" quotePrefix="0" xfId="0"/>
    <xf numFmtId="0" fontId="3" fillId="2" borderId="0" pivotButton="0" quotePrefix="0" xfId="0"/>
    <xf numFmtId="164" fontId="5" fillId="3" borderId="1" pivotButton="0" quotePrefix="0" xfId="0"/>
    <xf numFmtId="2" fontId="5" fillId="3" borderId="1" pivotButton="0" quotePrefix="0" xfId="0"/>
    <xf numFmtId="0" fontId="4" fillId="0" borderId="1" applyAlignment="1" pivotButton="0" quotePrefix="0" xfId="0">
      <alignment horizontal="center"/>
    </xf>
    <xf numFmtId="165" fontId="5" fillId="3" borderId="1" pivotButton="0" quotePrefix="0" xfId="0"/>
    <xf numFmtId="10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  <xf numFmtId="0" fontId="6" fillId="4" borderId="1" applyAlignment="1" pivotButton="0" quotePrefix="0" xfId="0">
      <alignment horizontal="center"/>
    </xf>
    <xf numFmtId="164" fontId="7" fillId="0" borderId="1" pivotButton="0" quotePrefix="0" xfId="0"/>
    <xf numFmtId="164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10" fontId="7" fillId="0" borderId="1" pivotButton="0" quotePrefix="0" xfId="0"/>
    <xf numFmtId="165" fontId="7" fillId="0" borderId="1" pivotButton="0" quotePrefix="0" xfId="0"/>
    <xf numFmtId="2" fontId="7" fillId="0" borderId="1" pivotButton="0" quotePrefix="0" xfId="0"/>
    <xf numFmtId="2" fontId="6" fillId="0" borderId="1" pivotButton="0" quotePrefix="0" xfId="0"/>
    <xf numFmtId="10" fontId="7" fillId="4" borderId="1" applyAlignment="1" pivotButton="0" quotePrefix="0" xfId="0">
      <alignment horizontal="center"/>
    </xf>
    <xf numFmtId="165" fontId="7" fillId="4" borderId="1" applyAlignment="1" pivotButton="0" quotePrefix="0" xfId="0">
      <alignment horizontal="center"/>
    </xf>
    <xf numFmtId="2" fontId="4" fillId="0" borderId="1" pivotButton="0" quotePrefix="0" xfId="0"/>
    <xf numFmtId="166" fontId="6" fillId="4" borderId="1" applyAlignment="1" pivotButton="0" quotePrefix="0" xfId="0">
      <alignment horizontal="center"/>
    </xf>
    <xf numFmtId="0" fontId="7" fillId="0" borderId="1" pivotButton="0" quotePrefix="0" xfId="0"/>
    <xf numFmtId="166" fontId="7" fillId="0" borderId="1" pivotButton="0" quotePrefix="0" xfId="0"/>
    <xf numFmtId="165" fontId="4" fillId="0" borderId="1" pivotButton="0" quotePrefix="0" xfId="0"/>
    <xf numFmtId="0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70" customWidth="1" min="3" max="3"/>
    <col width="16" customWidth="1" min="4" max="4"/>
  </cols>
  <sheetData>
    <row r="1">
      <c r="A1" s="1" t="inlineStr">
        <is>
          <t>估值變量確認總覽 — 聯茂（6213）</t>
        </is>
      </c>
    </row>
    <row r="2">
      <c r="A2" s="2" t="inlineStr">
        <is>
          <t>報告日期：20260807｜本表為唯讀摘要，實際輸入請至「1_輸入區」修改</t>
        </is>
      </c>
    </row>
    <row r="4">
      <c r="A4" s="3" t="inlineStr">
        <is>
          <t>變量</t>
        </is>
      </c>
      <c r="B4" s="3" t="inlineStr">
        <is>
          <t>採用值</t>
        </is>
      </c>
      <c r="C4" s="3" t="inlineStr">
        <is>
          <t>來源</t>
        </is>
      </c>
      <c r="D4" s="3" t="inlineStr">
        <is>
          <t>影響方向</t>
        </is>
      </c>
    </row>
    <row r="5">
      <c r="A5" s="4" t="inlineStr">
        <is>
          <t>現價</t>
        </is>
      </c>
      <c r="B5" s="4" t="inlineStr">
        <is>
          <t>389.0 元</t>
        </is>
      </c>
      <c r="C5" s="5" t="inlineStr">
        <is>
          <t>Yahoo Finance 2026/08/07 收盤 389.0 元（6 個交易日 +47.9%，52週 88.7~396.0）</t>
        </is>
      </c>
      <c r="D5" s="4" t="inlineStr">
        <is>
          <t>估值基準</t>
        </is>
      </c>
    </row>
    <row r="6">
      <c r="A6" s="4" t="inlineStr">
        <is>
          <t>基期EPS</t>
        </is>
      </c>
      <c r="B6" s="4" t="inlineStr">
        <is>
          <t>4.16 元（2025）</t>
        </is>
      </c>
      <c r="C6" s="5" t="inlineStr">
        <is>
          <t>2025 年度 EPS 4.16 元（TWSE 公告）</t>
        </is>
      </c>
      <c r="D6" s="4" t="inlineStr">
        <is>
          <t>估值基準</t>
        </is>
      </c>
    </row>
    <row r="7">
      <c r="A7" s="4" t="inlineStr">
        <is>
          <t>傳統/中低階 CCL（FR4~M4） 成長率</t>
        </is>
      </c>
      <c r="B7" s="4" t="inlineStr">
        <is>
          <t>42% / 49% / 13%</t>
        </is>
      </c>
      <c r="C7" s="5" t="inlineStr">
        <is>
          <t>2025A 佔比約 71.5%（236.65 億）。成長率經反解校準</t>
        </is>
      </c>
      <c r="D7" s="4" t="inlineStr">
        <is>
          <t>營收→EPS</t>
        </is>
      </c>
    </row>
    <row r="8">
      <c r="A8" s="4" t="inlineStr">
        <is>
          <t>M6（通用伺服器主流） 成長率</t>
        </is>
      </c>
      <c r="B8" s="4" t="inlineStr">
        <is>
          <t>84% / 107% / 19%</t>
        </is>
      </c>
      <c r="C8" s="5" t="inlineStr">
        <is>
          <t>2025A 佔比約 22%（72.82 億）。PCIe Gen5→Gen6 平台升級＋泰國廠</t>
        </is>
      </c>
      <c r="D8" s="4" t="inlineStr">
        <is>
          <t>營收→EPS</t>
        </is>
      </c>
    </row>
    <row r="9">
      <c r="A9" s="4" t="inlineStr">
        <is>
          <t>M7 以上（AI/LEO/交換機/ASIC） 成長率</t>
        </is>
      </c>
      <c r="B9" s="4" t="inlineStr">
        <is>
          <t>251% / 219% / 32%</t>
        </is>
      </c>
      <c r="C9" s="5" t="inlineStr">
        <is>
          <t>2025A 佔比約 6.5%（21.51 億）。Starlink＋M7 佔比續升＋Google ASIC 27H2</t>
        </is>
      </c>
      <c r="D9" s="4" t="inlineStr">
        <is>
          <t>營收→EPS</t>
        </is>
      </c>
    </row>
    <row r="10">
      <c r="A10" s="4" t="inlineStr">
        <is>
          <t>毛利率路徑</t>
        </is>
      </c>
      <c r="B10" s="4" t="inlineStr">
        <is>
          <t>21.8% / 27.5% / 29.2%</t>
        </is>
      </c>
      <c r="C10" s="5" t="inlineStr">
        <is>
          <t>★26Q2 實際 22.02%。2026 年化 21.82%（含 Q1 的 11.42%）。2027-2028 沿用 v12 團隊自建階梯 27.47%／29.17%，向公司口徑「E布緩解後 30% 可達成」靠攏</t>
        </is>
      </c>
      <c r="D10" s="4" t="inlineStr">
        <is>
          <t>EPS</t>
        </is>
      </c>
    </row>
    <row r="11">
      <c r="A11" s="4" t="inlineStr">
        <is>
          <t>目標PE區間</t>
        </is>
      </c>
      <c r="B11" s="4" t="inlineStr">
        <is>
          <t>12.0x - 18.0x</t>
        </is>
      </c>
      <c r="C11" s="5" t="inlineStr">
        <is>
          <t>★團隊自建版 2027E EPS 43.11 元遠高於共識 22.69 元。EPS 基數已內含高成長，PE 不應重複計價，故目標 PE 帶（12~18x）刻意低於共識對齊版（18~25x）</t>
        </is>
      </c>
      <c r="D11" s="4" t="inlineStr">
        <is>
          <t>目標價</t>
        </is>
      </c>
    </row>
    <row r="12">
      <c r="A12" s="4" t="inlineStr">
        <is>
          <t>現況PE基準</t>
        </is>
      </c>
      <c r="B12" s="4" t="inlineStr">
        <is>
          <t>30.3x</t>
        </is>
      </c>
      <c r="C12" s="5" t="inlineStr">
        <is>
          <t>389.0 ÷ 26E 法人共識 EPS 12.82 = 30.3x（優分析共識 20260807）</t>
        </is>
      </c>
      <c r="D12" s="4" t="inlineStr">
        <is>
          <t>對照組</t>
        </is>
      </c>
    </row>
    <row r="13">
      <c r="A13" s="4" t="inlineStr">
        <is>
          <t>產業平均成長率</t>
        </is>
      </c>
      <c r="B13" s="4" t="inlineStr">
        <is>
          <t>20%</t>
        </is>
      </c>
      <c r="C13" s="5" t="inlineStr">
        <is>
          <t>高速 CCL 同業（台光電/台燿）中期 EPS 成長推估</t>
        </is>
      </c>
      <c r="D13" s="4" t="inlineStr">
        <is>
          <t>隱含成長率檢核</t>
        </is>
      </c>
    </row>
    <row r="14">
      <c r="A14" s="4" t="inlineStr">
        <is>
          <t>★校準聲明（20260807 修正）</t>
        </is>
      </c>
      <c r="B14" s="4" t="inlineStr">
        <is>
          <t>本表產品線營收經反解校準，年營收與 EPS 已與損益表預估 xlsx 完全一致</t>
        </is>
      </c>
      <c r="C14" s="5" t="inlineStr">
        <is>
          <t>★前一版敏感度表存在系統性缺陷：CONFIG 的 product_lines 係憑估填入，未驗證是否能重現損益模型，導致算出的 EPS 路徑高於模型 30~47%，連帶目標價全部灌水。本版以損益模型的年化毛利率/費用率/業外率/有效稅率（含少數股權）直接代入，並用 brentq 反解各產品線成長率使年營收精確命中模型值。稅率欄位為「所得稅＋少數股權」之合併有效率，故已內含歸母比例稀釋。</t>
        </is>
      </c>
      <c r="D14" s="4" t="inlineStr">
        <is>
          <t>估值方法修正</t>
        </is>
      </c>
    </row>
    <row r="15">
      <c r="A15" s="4" t="inlineStr">
        <is>
          <t>★本表＝【團隊自建版】，與共識對齊版並列</t>
        </is>
      </c>
      <c r="B15" s="4" t="inlineStr">
        <is>
          <t>2026E 16.73／2027E 43.11／2028E 55.56 元</t>
        </is>
      </c>
      <c r="C15" s="5" t="inlineStr">
        <is>
          <t>另一份 `聯茂_6213_估值敏感度_共識對齊版_20260807.xlsx` 為共識路徑（24.74／27.92）。兩版 2026 年完全相同，2027 年差 18.4 元，其中約 95% 來自營收假設、僅約 5% 來自三率。Wallace 20260807 裁示雙版並存、不預設單一錨點</t>
        </is>
      </c>
      <c r="D15" s="4" t="inlineStr">
        <is>
          <t>損益模型 v14 雙分頁</t>
        </is>
      </c>
    </row>
    <row r="16">
      <c r="A16" s="4" t="inlineStr">
        <is>
          <t>★2027 年 +86.8% 是本版最大單一假設</t>
        </is>
      </c>
      <c r="B16" s="4" t="inlineStr">
        <is>
          <t>2026/12 月營收 66.11 億 → 2027/12 需達 97.59 億</t>
        </is>
      </c>
      <c r="C16" s="5" t="inlineStr">
        <is>
          <t>要求 Starlink(M4/M6/M7) 放量、泰國廠 60 萬張全年、M7 佔比續升、Google ASIC 27H2 貢獻四條線同時按期兌現。任一延後即向共識收斂——這是保守情境給到 40% 機率的原因</t>
        </is>
      </c>
      <c r="D16" s="4" t="inlineStr">
        <is>
          <t>v12 Note 原文</t>
        </is>
      </c>
    </row>
    <row r="17">
      <c r="A17" s="4" t="inlineStr">
        <is>
          <t>★26Q2 正式財報（本次改版依據）</t>
        </is>
      </c>
      <c r="B17" s="4" t="inlineStr">
        <is>
          <t>營收 115.30 億、毛利率 22.02%、營益率 16.03%、EPS 3.52 元</t>
        </is>
      </c>
      <c r="C17" s="5" t="inlineStr">
        <is>
          <t>前版模型 v11/v12 對 Q2 僅給毛利率 19.5%、推得 EPS 2.89 元；實際超出 +21.8%。兩版三率均已據此上修</t>
        </is>
      </c>
      <c r="D17" s="4" t="inlineStr">
        <is>
          <t>MOPS ajax_t164sb04 co_id=6213 year=115 season=2</t>
        </is>
      </c>
    </row>
    <row r="18">
      <c r="A18" s="4" t="inlineStr">
        <is>
          <t>賠率警語</t>
        </is>
      </c>
      <c r="B18" s="4" t="inlineStr">
        <is>
          <t>8/02 版 263 元 → 8/07 收 389 元，6 個交易日 +47.9%</t>
        </is>
      </c>
      <c r="C18" s="5" t="inlineStr">
        <is>
          <t>★現價對 2026E 16.73 元為 23.3x。證據在變好、賠率同步變差——這個結論在兩個版本下都成立</t>
        </is>
      </c>
      <c r="D18" s="4" t="inlineStr">
        <is>
          <t>投資幕僚長判讀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3" customWidth="1" min="5" max="5"/>
    <col width="40" customWidth="1" min="6" max="6"/>
    <col width="10" customWidth="1" min="7" max="7"/>
  </cols>
  <sheetData>
    <row r="1">
      <c r="A1" s="1" t="inlineStr">
        <is>
          <t>估值輸入區 — 聯茂（6213）</t>
        </is>
      </c>
    </row>
    <row r="2">
      <c r="A2" s="2" t="inlineStr">
        <is>
          <t>報告日期 20260807｜藍字黃底＝可自行改動，改動後全表即時重算</t>
        </is>
      </c>
    </row>
    <row r="4">
      <c r="A4" s="6" t="inlineStr">
        <is>
          <t>① 基本資料</t>
        </is>
      </c>
    </row>
    <row r="5">
      <c r="A5" s="4" t="inlineStr">
        <is>
          <t>現價（元）</t>
        </is>
      </c>
      <c r="B5" s="7" t="n">
        <v>389</v>
      </c>
      <c r="C5" s="2" t="inlineStr">
        <is>
          <t>來源：Yahoo Finance 2026/08/07 收盤 389.0 元（6 個交易日 +47.9%，52週 88.7~396.0）</t>
        </is>
      </c>
    </row>
    <row r="6">
      <c r="A6" s="4" t="inlineStr">
        <is>
          <t>在外流通股數（億股）</t>
        </is>
      </c>
      <c r="B6" s="8" t="n">
        <v>3.635</v>
      </c>
      <c r="C6" s="2" t="inlineStr">
        <is>
          <t>來源：26Q2 財報 EPS 3.52 與歸母淨利 12.79 億回推 ≈3.635 億股</t>
        </is>
      </c>
    </row>
    <row r="7">
      <c r="A7" s="4" t="inlineStr">
        <is>
          <t>基期年度</t>
        </is>
      </c>
      <c r="B7" s="9" t="inlineStr">
        <is>
          <t>2025</t>
        </is>
      </c>
    </row>
    <row r="8">
      <c r="A8" s="4" t="inlineStr">
        <is>
          <t>基期 EPS（元）</t>
        </is>
      </c>
      <c r="B8" s="8" t="n">
        <v>4.16</v>
      </c>
      <c r="C8" s="2" t="inlineStr">
        <is>
          <t>來源：2025 年度 EPS 4.16 元（TWSE 公告）</t>
        </is>
      </c>
    </row>
    <row r="10">
      <c r="A10" s="6" t="inlineStr">
        <is>
          <t>② 營收假設（億元）</t>
        </is>
      </c>
    </row>
    <row r="11">
      <c r="A11" s="3" t="inlineStr">
        <is>
          <t>產品線</t>
        </is>
      </c>
      <c r="B11" s="3" t="inlineStr">
        <is>
          <t>2025基期營收</t>
        </is>
      </c>
      <c r="C11" s="3" t="inlineStr">
        <is>
          <t>2026 成長率</t>
        </is>
      </c>
      <c r="D11" s="3" t="inlineStr">
        <is>
          <t>2027 成長率</t>
        </is>
      </c>
      <c r="E11" s="3" t="inlineStr">
        <is>
          <t>2028 成長率</t>
        </is>
      </c>
      <c r="F11" s="3" t="inlineStr">
        <is>
          <t>來源備註</t>
        </is>
      </c>
    </row>
    <row r="12">
      <c r="A12" s="4" t="inlineStr">
        <is>
          <t>傳統/中低階 CCL（FR4~M4）</t>
        </is>
      </c>
      <c r="B12" s="7" t="n">
        <v>236.65</v>
      </c>
      <c r="C12" s="10" t="n">
        <v>0.4187</v>
      </c>
      <c r="D12" s="10" t="n">
        <v>0.4875</v>
      </c>
      <c r="E12" s="10" t="n">
        <v>0.1289</v>
      </c>
      <c r="F12" s="2" t="inlineStr">
        <is>
          <t>來源：2025A 佔比約 71.5%（236.65 億）。成長率經反解校準</t>
        </is>
      </c>
    </row>
    <row r="13">
      <c r="A13" s="4" t="inlineStr">
        <is>
          <t>M6（通用伺服器主流）</t>
        </is>
      </c>
      <c r="B13" s="7" t="n">
        <v>72.81999999999999</v>
      </c>
      <c r="C13" s="10" t="n">
        <v>0.8374</v>
      </c>
      <c r="D13" s="10" t="n">
        <v>1.0725</v>
      </c>
      <c r="E13" s="10" t="n">
        <v>0.1933</v>
      </c>
      <c r="F13" s="2" t="inlineStr">
        <is>
          <t>來源：2025A 佔比約 22%（72.82 億）。PCIe Gen5→Gen6 平台升級＋泰國廠</t>
        </is>
      </c>
    </row>
    <row r="14">
      <c r="A14" s="4" t="inlineStr">
        <is>
          <t>M7 以上（AI/LEO/交換機/ASIC）</t>
        </is>
      </c>
      <c r="B14" s="7" t="n">
        <v>21.51</v>
      </c>
      <c r="C14" s="10" t="n">
        <v>2.5123</v>
      </c>
      <c r="D14" s="10" t="n">
        <v>2.1938</v>
      </c>
      <c r="E14" s="10" t="n">
        <v>0.3221</v>
      </c>
      <c r="F14" s="2" t="inlineStr">
        <is>
          <t>來源：2025A 佔比約 6.5%（21.51 億）。Starlink＋M7 佔比續升＋Google ASIC 27H2</t>
        </is>
      </c>
    </row>
    <row r="16">
      <c r="A16" s="6" t="inlineStr">
        <is>
          <t>③ 利潤率假設</t>
        </is>
      </c>
    </row>
    <row r="17">
      <c r="A17" s="3" t="inlineStr">
        <is>
          <t>項目</t>
        </is>
      </c>
      <c r="B17" s="3" t="inlineStr">
        <is>
          <t>2026</t>
        </is>
      </c>
      <c r="C17" s="3" t="inlineStr">
        <is>
          <t>2027</t>
        </is>
      </c>
      <c r="D17" s="3" t="inlineStr">
        <is>
          <t>2028</t>
        </is>
      </c>
      <c r="E17" s="3" t="inlineStr">
        <is>
          <t>來源備註</t>
        </is>
      </c>
    </row>
    <row r="18">
      <c r="A18" s="4" t="inlineStr">
        <is>
          <t>毛利率</t>
        </is>
      </c>
      <c r="B18" s="11" t="n">
        <v>0.2182</v>
      </c>
      <c r="C18" s="11" t="n">
        <v>0.2747</v>
      </c>
      <c r="D18" s="11" t="n">
        <v>0.2917</v>
      </c>
      <c r="E18" s="2" t="inlineStr">
        <is>
          <t>來源：★26Q2 實際 22.02%。2026 年化 21.82%（含 Q1 的 11.42%）。2027-2028 沿用 v12 團隊自建階梯 27.47%／29.17%，向公司口徑「E布緩解後 30% 可達成」靠攏</t>
        </is>
      </c>
    </row>
    <row r="19">
      <c r="A19" s="4" t="inlineStr">
        <is>
          <t>營業費用率</t>
        </is>
      </c>
      <c r="B19" s="11" t="n">
        <v>0.06</v>
      </c>
      <c r="C19" s="11" t="n">
        <v>0.056</v>
      </c>
      <c r="D19" s="11" t="n">
        <v>0.055</v>
      </c>
      <c r="E19" s="2" t="inlineStr">
        <is>
          <t>來源：★26Q2 實際費用率 5.99%（Q1 6.78%）。年化值取自損益模型（兩版相同）</t>
        </is>
      </c>
    </row>
    <row r="20">
      <c r="A20" s="4" t="inlineStr">
        <is>
          <t>業外收支/營收</t>
        </is>
      </c>
      <c r="B20" s="11" t="n">
        <v>0.0019</v>
      </c>
      <c r="C20" s="11" t="n">
        <v>0.0012</v>
      </c>
      <c r="D20" s="11" t="n">
        <v>0.001</v>
      </c>
      <c r="E20" s="2" t="inlineStr">
        <is>
          <t>來源：26Q2 業外 -0.14 億；後續中性推估</t>
        </is>
      </c>
    </row>
    <row r="21">
      <c r="A21" s="4" t="inlineStr">
        <is>
          <t>有效稅率</t>
        </is>
      </c>
      <c r="B21" s="10" t="n">
        <v>0.3032</v>
      </c>
      <c r="C21" s="10" t="n">
        <v>0.3</v>
      </c>
      <c r="D21" s="10" t="n">
        <v>0.3</v>
      </c>
      <c r="E21" s="2" t="inlineStr">
        <is>
          <t>來源：★26Q1 實際 34.8%、26Q2 實際 30.24%；後續 30%。年化值取自損益模型（歸母比例 1.0，無少數股權稀釋）</t>
        </is>
      </c>
    </row>
    <row r="23">
      <c r="A23" s="6" t="inlineStr">
        <is>
          <t>④ 估值假設</t>
        </is>
      </c>
    </row>
    <row r="24">
      <c r="A24" s="4" t="inlineStr">
        <is>
          <t>目標 PE 下緣</t>
        </is>
      </c>
      <c r="B24" s="12" t="n">
        <v>12</v>
      </c>
      <c r="C24" s="2" t="inlineStr">
        <is>
          <t>來源：★團隊自建版 2027E EPS 43.11 元遠高於共識 22.69 元。EPS 基數已內含高成長，PE 不應重複計價，故目標 PE 帶（12~18x）刻意低於共識對齊版（18~25x）</t>
        </is>
      </c>
    </row>
    <row r="25">
      <c r="A25" s="4" t="inlineStr">
        <is>
          <t>目標 PE 上緣</t>
        </is>
      </c>
      <c r="B25" s="12" t="n">
        <v>18</v>
      </c>
    </row>
    <row r="26">
      <c r="A26" s="4" t="inlineStr">
        <is>
          <t>出場 PE（隱含成長率檢核）</t>
        </is>
      </c>
      <c r="B26" s="12" t="n">
        <v>15</v>
      </c>
    </row>
    <row r="27">
      <c r="A27" s="4" t="inlineStr">
        <is>
          <t>評估年數 N</t>
        </is>
      </c>
      <c r="B27" s="13" t="n">
        <v>2</v>
      </c>
    </row>
    <row r="28">
      <c r="A28" s="4" t="inlineStr">
        <is>
          <t>產業平均 EPS 成長率</t>
        </is>
      </c>
      <c r="B28" s="10" t="n">
        <v>0.2</v>
      </c>
      <c r="C28" s="2" t="inlineStr">
        <is>
          <t>來源：高速 CCL 同業（台光電/台燿）中期 EPS 成長推估</t>
        </is>
      </c>
    </row>
    <row r="29">
      <c r="A29" s="4" t="inlineStr">
        <is>
          <t>現況本益比基準（不含重評，對照用）</t>
        </is>
      </c>
      <c r="B29" s="12" t="n">
        <v>30.3</v>
      </c>
      <c r="C29" s="2" t="inlineStr">
        <is>
          <t>來源：389.0 ÷ 26E 法人共識 EPS 12.82 = 30.3x（優分析共識 20260807）</t>
        </is>
      </c>
    </row>
    <row r="31">
      <c r="A31" s="6" t="inlineStr">
        <is>
          <t>⑤ 情境調整（相對基本假設）</t>
        </is>
      </c>
    </row>
    <row r="32">
      <c r="A32" s="3" t="inlineStr">
        <is>
          <t>情境</t>
        </is>
      </c>
      <c r="B32" s="3" t="inlineStr">
        <is>
          <t>機率</t>
        </is>
      </c>
      <c r="C32" s="3" t="inlineStr">
        <is>
          <t>營收成長率調整</t>
        </is>
      </c>
      <c r="D32" s="3" t="inlineStr">
        <is>
          <t>毛利率調整</t>
        </is>
      </c>
      <c r="E32" s="3" t="inlineStr">
        <is>
          <t>情境 PE</t>
        </is>
      </c>
      <c r="F32" s="3" t="inlineStr">
        <is>
          <t>情境說明</t>
        </is>
      </c>
    </row>
    <row r="33">
      <c r="A33" s="4" t="inlineStr">
        <is>
          <t>樂觀</t>
        </is>
      </c>
      <c r="B33" s="10" t="n">
        <v>0.15</v>
      </c>
      <c r="C33" s="10" t="n">
        <v>0.08</v>
      </c>
      <c r="D33" s="11" t="n">
        <v>0.015</v>
      </c>
      <c r="E33" s="12" t="n">
        <v>20</v>
      </c>
      <c r="F33" s="2" t="inlineStr">
        <is>
          <t>Starlink／泰國廠／M7 佔比／Google ASIC 四條線全部按期兌現，2028 年 M9 提前貢獻</t>
        </is>
      </c>
    </row>
    <row r="34">
      <c r="A34" s="4" t="inlineStr">
        <is>
          <t>基本</t>
        </is>
      </c>
      <c r="B34" s="10" t="n">
        <v>0.25</v>
      </c>
      <c r="C34" s="10" t="n">
        <v>0</v>
      </c>
      <c r="D34" s="11" t="n">
        <v>0</v>
      </c>
      <c r="E34" s="12" t="n">
        <v>15</v>
      </c>
      <c r="F34" s="2" t="inlineStr">
        <is>
          <t>完全依 v12 團隊自建路徑：2027 營收 1,018.0 億（YoY +86.8%）、EPS 43.11 元。★這是本表最需要被質疑的一條</t>
        </is>
      </c>
    </row>
    <row r="35">
      <c r="A35" s="4" t="inlineStr">
        <is>
          <t>保守（向共識收斂）</t>
        </is>
      </c>
      <c r="B35" s="10" t="n">
        <v>0.4</v>
      </c>
      <c r="C35" s="10" t="n">
        <v>-0.39</v>
      </c>
      <c r="D35" s="11" t="n">
        <v>-0.013</v>
      </c>
      <c r="E35" s="12" t="n">
        <v>15</v>
      </c>
      <c r="F35" s="2" t="inlineStr">
        <is>
          <t>★機率最高：2027 營收由 1,018 億收斂至共識 619.3 億（-39%），對應共識對齊版 EPS 24.74 元。四條線任一延後即落入此情境</t>
        </is>
      </c>
    </row>
    <row r="36">
      <c r="A36" s="4" t="inlineStr">
        <is>
          <t>循環見頂</t>
        </is>
      </c>
      <c r="B36" s="10" t="n">
        <v>0.2</v>
      </c>
      <c r="C36" s="10" t="n">
        <v>-0.55</v>
      </c>
      <c r="D36" s="11" t="n">
        <v>-0.04</v>
      </c>
      <c r="E36" s="12" t="n">
        <v>11</v>
      </c>
      <c r="F36" s="2" t="inlineStr">
        <is>
          <t>★共識 2028E EPS 由 2027 的 22.69 降至 14.80（-34.8%），已明示市場預期 2028 年反轉</t>
        </is>
      </c>
    </row>
  </sheetData>
  <mergeCells count="5">
    <mergeCell ref="A16:F16"/>
    <mergeCell ref="A10:F10"/>
    <mergeCell ref="A23:F23"/>
    <mergeCell ref="A31:F3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EPS 計算（全公式，勿直接改本表——請改 1_輸入區）</t>
        </is>
      </c>
    </row>
    <row r="3">
      <c r="A3" s="3" t="inlineStr">
        <is>
          <t>項目</t>
        </is>
      </c>
      <c r="B3" s="14" t="inlineStr">
        <is>
          <t>2025A</t>
        </is>
      </c>
      <c r="C3" s="14" t="inlineStr">
        <is>
          <t>2026E</t>
        </is>
      </c>
      <c r="D3" s="14" t="inlineStr">
        <is>
          <t>2027E</t>
        </is>
      </c>
      <c r="E3" s="14" t="inlineStr">
        <is>
          <t>2028E</t>
        </is>
      </c>
    </row>
    <row r="4">
      <c r="A4" s="4" t="inlineStr">
        <is>
          <t>傳統/中低階 CCL（FR4~M4） 營收</t>
        </is>
      </c>
      <c r="B4" s="15">
        <f>'1_輸入區'!B12</f>
        <v/>
      </c>
      <c r="C4" s="16">
        <f>B4*(1+'1_輸入區'!C12)</f>
        <v/>
      </c>
      <c r="D4" s="16">
        <f>C4*(1+'1_輸入區'!D12)</f>
        <v/>
      </c>
      <c r="E4" s="16">
        <f>D4*(1+'1_輸入區'!E12)</f>
        <v/>
      </c>
    </row>
    <row r="5">
      <c r="A5" s="4" t="inlineStr">
        <is>
          <t>M6（通用伺服器主流） 營收</t>
        </is>
      </c>
      <c r="B5" s="15">
        <f>'1_輸入區'!B13</f>
        <v/>
      </c>
      <c r="C5" s="16">
        <f>B5*(1+'1_輸入區'!C13)</f>
        <v/>
      </c>
      <c r="D5" s="16">
        <f>C5*(1+'1_輸入區'!D13)</f>
        <v/>
      </c>
      <c r="E5" s="16">
        <f>D5*(1+'1_輸入區'!E13)</f>
        <v/>
      </c>
    </row>
    <row r="6">
      <c r="A6" s="4" t="inlineStr">
        <is>
          <t>M7 以上（AI/LEO/交換機/ASIC） 營收</t>
        </is>
      </c>
      <c r="B6" s="15">
        <f>'1_輸入區'!B14</f>
        <v/>
      </c>
      <c r="C6" s="16">
        <f>B6*(1+'1_輸入區'!C14)</f>
        <v/>
      </c>
      <c r="D6" s="16">
        <f>C6*(1+'1_輸入區'!D14)</f>
        <v/>
      </c>
      <c r="E6" s="16">
        <f>D6*(1+'1_輸入區'!E14)</f>
        <v/>
      </c>
    </row>
    <row r="7">
      <c r="A7" s="17" t="inlineStr">
        <is>
          <t>總營收（億元）</t>
        </is>
      </c>
      <c r="B7" s="18">
        <f>SUM(B4:B6)</f>
        <v/>
      </c>
      <c r="C7" s="18">
        <f>SUM(C4:C6)</f>
        <v/>
      </c>
      <c r="D7" s="18">
        <f>SUM(D4:D6)</f>
        <v/>
      </c>
      <c r="E7" s="18">
        <f>SUM(E4:E6)</f>
        <v/>
      </c>
    </row>
    <row r="8">
      <c r="A8" s="4" t="inlineStr">
        <is>
          <t>毛利率</t>
        </is>
      </c>
      <c r="B8" s="9" t="inlineStr">
        <is>
          <t>n/a</t>
        </is>
      </c>
      <c r="C8" s="19">
        <f>'1_輸入區'!B18</f>
        <v/>
      </c>
      <c r="D8" s="19">
        <f>'1_輸入區'!C18</f>
        <v/>
      </c>
      <c r="E8" s="19">
        <f>'1_輸入區'!D18</f>
        <v/>
      </c>
    </row>
    <row r="9">
      <c r="A9" s="4" t="inlineStr">
        <is>
          <t>營業毛利（億元）</t>
        </is>
      </c>
      <c r="B9" s="9" t="inlineStr">
        <is>
          <t>n/a</t>
        </is>
      </c>
      <c r="C9" s="16">
        <f>C7*C8</f>
        <v/>
      </c>
      <c r="D9" s="16">
        <f>D7*D8</f>
        <v/>
      </c>
      <c r="E9" s="16">
        <f>E7*E8</f>
        <v/>
      </c>
    </row>
    <row r="10">
      <c r="A10" s="4" t="inlineStr">
        <is>
          <t>營業費用率</t>
        </is>
      </c>
      <c r="B10" s="9" t="inlineStr">
        <is>
          <t>n/a</t>
        </is>
      </c>
      <c r="C10" s="19">
        <f>'1_輸入區'!B19</f>
        <v/>
      </c>
      <c r="D10" s="19">
        <f>'1_輸入區'!C19</f>
        <v/>
      </c>
      <c r="E10" s="19">
        <f>'1_輸入區'!D19</f>
        <v/>
      </c>
    </row>
    <row r="11">
      <c r="A11" s="4" t="inlineStr">
        <is>
          <t>營業利益（億元）</t>
        </is>
      </c>
      <c r="B11" s="9" t="inlineStr">
        <is>
          <t>n/a</t>
        </is>
      </c>
      <c r="C11" s="16">
        <f>C9-C7*C10</f>
        <v/>
      </c>
      <c r="D11" s="16">
        <f>D9-D7*D10</f>
        <v/>
      </c>
      <c r="E11" s="16">
        <f>E9-E7*E10</f>
        <v/>
      </c>
    </row>
    <row r="12">
      <c r="A12" s="4" t="inlineStr">
        <is>
          <t>業外收支率</t>
        </is>
      </c>
      <c r="B12" s="9" t="inlineStr">
        <is>
          <t>n/a</t>
        </is>
      </c>
      <c r="C12" s="19">
        <f>'1_輸入區'!B20</f>
        <v/>
      </c>
      <c r="D12" s="19">
        <f>'1_輸入區'!C20</f>
        <v/>
      </c>
      <c r="E12" s="19">
        <f>'1_輸入區'!D20</f>
        <v/>
      </c>
    </row>
    <row r="13">
      <c r="A13" s="4" t="inlineStr">
        <is>
          <t>稅前淨利（億元）</t>
        </is>
      </c>
      <c r="B13" s="9" t="inlineStr">
        <is>
          <t>n/a</t>
        </is>
      </c>
      <c r="C13" s="16">
        <f>C11+C7*C12</f>
        <v/>
      </c>
      <c r="D13" s="16">
        <f>D11+D7*D12</f>
        <v/>
      </c>
      <c r="E13" s="16">
        <f>E11+E7*E12</f>
        <v/>
      </c>
    </row>
    <row r="14">
      <c r="A14" s="4" t="inlineStr">
        <is>
          <t>有效稅率</t>
        </is>
      </c>
      <c r="B14" s="9" t="inlineStr">
        <is>
          <t>n/a</t>
        </is>
      </c>
      <c r="C14" s="20">
        <f>'1_輸入區'!B21</f>
        <v/>
      </c>
      <c r="D14" s="20">
        <f>'1_輸入區'!C21</f>
        <v/>
      </c>
      <c r="E14" s="20">
        <f>'1_輸入區'!D21</f>
        <v/>
      </c>
    </row>
    <row r="15">
      <c r="A15" s="17" t="inlineStr">
        <is>
          <t>稅後淨利（億元）</t>
        </is>
      </c>
      <c r="B15" s="9" t="inlineStr">
        <is>
          <t>n/a</t>
        </is>
      </c>
      <c r="C15" s="18">
        <f>C13*(1-C14)</f>
        <v/>
      </c>
      <c r="D15" s="18">
        <f>D13*(1-D14)</f>
        <v/>
      </c>
      <c r="E15" s="18">
        <f>E13*(1-E14)</f>
        <v/>
      </c>
    </row>
    <row r="16">
      <c r="A16" s="17" t="inlineStr">
        <is>
          <t>EPS（元）</t>
        </is>
      </c>
      <c r="B16" s="21">
        <f>'1_輸入區'!$B$8</f>
        <v/>
      </c>
      <c r="C16" s="22">
        <f>C15/'1_輸入區'!$B$6</f>
        <v/>
      </c>
      <c r="D16" s="22">
        <f>D15/'1_輸入區'!$B$6</f>
        <v/>
      </c>
      <c r="E16" s="22">
        <f>E15/'1_輸入區'!$B$6</f>
        <v/>
      </c>
    </row>
    <row r="18">
      <c r="A18" s="4" t="inlineStr">
        <is>
          <t>目標價（PE下緣）</t>
        </is>
      </c>
      <c r="C18" s="16">
        <f>C16*'1_輸入區'!$B$24</f>
        <v/>
      </c>
      <c r="D18" s="16">
        <f>D16*'1_輸入區'!$B$24</f>
        <v/>
      </c>
      <c r="E18" s="16">
        <f>E16*'1_輸入區'!$B$24</f>
        <v/>
      </c>
    </row>
    <row r="19">
      <c r="A19" s="4" t="inlineStr">
        <is>
          <t>目標價（PE上緣）</t>
        </is>
      </c>
      <c r="C19" s="16">
        <f>C16*'1_輸入區'!$B$25</f>
        <v/>
      </c>
      <c r="D19" s="16">
        <f>D16*'1_輸入區'!$B$25</f>
        <v/>
      </c>
      <c r="E19" s="16">
        <f>E16*'1_輸入區'!$B$25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敏感度矩陣（以最後預測年度為基準）</t>
        </is>
      </c>
    </row>
    <row r="3">
      <c r="A3" s="6" t="inlineStr">
        <is>
          <t>矩陣A：2028E 總營收YoY × 毛利率 → EPS</t>
        </is>
      </c>
    </row>
    <row r="5">
      <c r="A5" s="14" t="inlineStr">
        <is>
          <t>營收YoY\毛利率</t>
        </is>
      </c>
      <c r="B5" s="23">
        <f>'1_輸入區'!D18+-0.05</f>
        <v/>
      </c>
      <c r="C5" s="23">
        <f>'1_輸入區'!D18+-0.03</f>
        <v/>
      </c>
      <c r="D5" s="23">
        <f>'1_輸入區'!D18+-0.015</f>
        <v/>
      </c>
      <c r="E5" s="23">
        <f>'1_輸入區'!D18+0.0</f>
        <v/>
      </c>
      <c r="F5" s="23">
        <f>'1_輸入區'!D18+0.015</f>
        <v/>
      </c>
      <c r="G5" s="23">
        <f>'1_輸入區'!D18+0.03</f>
        <v/>
      </c>
      <c r="H5" s="23">
        <f>'1_輸入區'!D18+0.05</f>
        <v/>
      </c>
    </row>
    <row r="6">
      <c r="A6" s="24">
        <f>SUMPRODUCT('1_輸入區'!B12:B14,'1_輸入區'!E12:E14)/SUM('1_輸入區'!B12:B14)+-0.15</f>
        <v/>
      </c>
      <c r="B6" s="25">
        <f>('2_EPS計算'!E7*(1+-0.15)*(('1_輸入區'!D18+-0.05)-'1_輸入區'!D19)*(1+'1_輸入區'!D20)*(1-'1_輸入區'!D21))/'1_輸入區'!$B$6</f>
        <v/>
      </c>
      <c r="C6" s="25">
        <f>('2_EPS計算'!E7*(1+-0.15)*(('1_輸入區'!D18+-0.03)-'1_輸入區'!D19)*(1+'1_輸入區'!D20)*(1-'1_輸入區'!D21))/'1_輸入區'!$B$6</f>
        <v/>
      </c>
      <c r="D6" s="25">
        <f>('2_EPS計算'!E7*(1+-0.15)*(('1_輸入區'!D18+-0.015)-'1_輸入區'!D19)*(1+'1_輸入區'!D20)*(1-'1_輸入區'!D21))/'1_輸入區'!$B$6</f>
        <v/>
      </c>
      <c r="E6" s="25">
        <f>('2_EPS計算'!E7*(1+-0.15)*(('1_輸入區'!D18+0.0)-'1_輸入區'!D19)*(1+'1_輸入區'!D20)*(1-'1_輸入區'!D21))/'1_輸入區'!$B$6</f>
        <v/>
      </c>
      <c r="F6" s="25">
        <f>('2_EPS計算'!E7*(1+-0.15)*(('1_輸入區'!D18+0.015)-'1_輸入區'!D19)*(1+'1_輸入區'!D20)*(1-'1_輸入區'!D21))/'1_輸入區'!$B$6</f>
        <v/>
      </c>
      <c r="G6" s="25">
        <f>('2_EPS計算'!E7*(1+-0.15)*(('1_輸入區'!D18+0.03)-'1_輸入區'!D19)*(1+'1_輸入區'!D20)*(1-'1_輸入區'!D21))/'1_輸入區'!$B$6</f>
        <v/>
      </c>
      <c r="H6" s="25">
        <f>('2_EPS計算'!E7*(1+-0.15)*(('1_輸入區'!D18+0.05)-'1_輸入區'!D19)*(1+'1_輸入區'!D20)*(1-'1_輸入區'!D21))/'1_輸入區'!$B$6</f>
        <v/>
      </c>
    </row>
    <row r="7">
      <c r="A7" s="24">
        <f>SUMPRODUCT('1_輸入區'!B12:B14,'1_輸入區'!E12:E14)/SUM('1_輸入區'!B12:B14)+-0.1</f>
        <v/>
      </c>
      <c r="B7" s="25">
        <f>('2_EPS計算'!E7*(1+-0.1)*(('1_輸入區'!D18+-0.05)-'1_輸入區'!D19)*(1+'1_輸入區'!D20)*(1-'1_輸入區'!D21))/'1_輸入區'!$B$6</f>
        <v/>
      </c>
      <c r="C7" s="25">
        <f>('2_EPS計算'!E7*(1+-0.1)*(('1_輸入區'!D18+-0.03)-'1_輸入區'!D19)*(1+'1_輸入區'!D20)*(1-'1_輸入區'!D21))/'1_輸入區'!$B$6</f>
        <v/>
      </c>
      <c r="D7" s="25">
        <f>('2_EPS計算'!E7*(1+-0.1)*(('1_輸入區'!D18+-0.015)-'1_輸入區'!D19)*(1+'1_輸入區'!D20)*(1-'1_輸入區'!D21))/'1_輸入區'!$B$6</f>
        <v/>
      </c>
      <c r="E7" s="25">
        <f>('2_EPS計算'!E7*(1+-0.1)*(('1_輸入區'!D18+0.0)-'1_輸入區'!D19)*(1+'1_輸入區'!D20)*(1-'1_輸入區'!D21))/'1_輸入區'!$B$6</f>
        <v/>
      </c>
      <c r="F7" s="25">
        <f>('2_EPS計算'!E7*(1+-0.1)*(('1_輸入區'!D18+0.015)-'1_輸入區'!D19)*(1+'1_輸入區'!D20)*(1-'1_輸入區'!D21))/'1_輸入區'!$B$6</f>
        <v/>
      </c>
      <c r="G7" s="25">
        <f>('2_EPS計算'!E7*(1+-0.1)*(('1_輸入區'!D18+0.03)-'1_輸入區'!D19)*(1+'1_輸入區'!D20)*(1-'1_輸入區'!D21))/'1_輸入區'!$B$6</f>
        <v/>
      </c>
      <c r="H7" s="25">
        <f>('2_EPS計算'!E7*(1+-0.1)*(('1_輸入區'!D18+0.05)-'1_輸入區'!D19)*(1+'1_輸入區'!D20)*(1-'1_輸入區'!D21))/'1_輸入區'!$B$6</f>
        <v/>
      </c>
    </row>
    <row r="8">
      <c r="A8" s="24">
        <f>SUMPRODUCT('1_輸入區'!B12:B14,'1_輸入區'!E12:E14)/SUM('1_輸入區'!B12:B14)+-0.05</f>
        <v/>
      </c>
      <c r="B8" s="25">
        <f>('2_EPS計算'!E7*(1+-0.05)*(('1_輸入區'!D18+-0.05)-'1_輸入區'!D19)*(1+'1_輸入區'!D20)*(1-'1_輸入區'!D21))/'1_輸入區'!$B$6</f>
        <v/>
      </c>
      <c r="C8" s="25">
        <f>('2_EPS計算'!E7*(1+-0.05)*(('1_輸入區'!D18+-0.03)-'1_輸入區'!D19)*(1+'1_輸入區'!D20)*(1-'1_輸入區'!D21))/'1_輸入區'!$B$6</f>
        <v/>
      </c>
      <c r="D8" s="25">
        <f>('2_EPS計算'!E7*(1+-0.05)*(('1_輸入區'!D18+-0.015)-'1_輸入區'!D19)*(1+'1_輸入區'!D20)*(1-'1_輸入區'!D21))/'1_輸入區'!$B$6</f>
        <v/>
      </c>
      <c r="E8" s="25">
        <f>('2_EPS計算'!E7*(1+-0.05)*(('1_輸入區'!D18+0.0)-'1_輸入區'!D19)*(1+'1_輸入區'!D20)*(1-'1_輸入區'!D21))/'1_輸入區'!$B$6</f>
        <v/>
      </c>
      <c r="F8" s="25">
        <f>('2_EPS計算'!E7*(1+-0.05)*(('1_輸入區'!D18+0.015)-'1_輸入區'!D19)*(1+'1_輸入區'!D20)*(1-'1_輸入區'!D21))/'1_輸入區'!$B$6</f>
        <v/>
      </c>
      <c r="G8" s="25">
        <f>('2_EPS計算'!E7*(1+-0.05)*(('1_輸入區'!D18+0.03)-'1_輸入區'!D19)*(1+'1_輸入區'!D20)*(1-'1_輸入區'!D21))/'1_輸入區'!$B$6</f>
        <v/>
      </c>
      <c r="H8" s="25">
        <f>('2_EPS計算'!E7*(1+-0.05)*(('1_輸入區'!D18+0.05)-'1_輸入區'!D19)*(1+'1_輸入區'!D20)*(1-'1_輸入區'!D21))/'1_輸入區'!$B$6</f>
        <v/>
      </c>
    </row>
    <row r="9">
      <c r="A9" s="24">
        <f>SUMPRODUCT('1_輸入區'!B12:B14,'1_輸入區'!E12:E14)/SUM('1_輸入區'!B12:B14)+0.0</f>
        <v/>
      </c>
      <c r="B9" s="25">
        <f>('2_EPS計算'!E7*(1+0.0)*(('1_輸入區'!D18+-0.05)-'1_輸入區'!D19)*(1+'1_輸入區'!D20)*(1-'1_輸入區'!D21))/'1_輸入區'!$B$6</f>
        <v/>
      </c>
      <c r="C9" s="25">
        <f>('2_EPS計算'!E7*(1+0.0)*(('1_輸入區'!D18+-0.03)-'1_輸入區'!D19)*(1+'1_輸入區'!D20)*(1-'1_輸入區'!D21))/'1_輸入區'!$B$6</f>
        <v/>
      </c>
      <c r="D9" s="25">
        <f>('2_EPS計算'!E7*(1+0.0)*(('1_輸入區'!D18+-0.015)-'1_輸入區'!D19)*(1+'1_輸入區'!D20)*(1-'1_輸入區'!D21))/'1_輸入區'!$B$6</f>
        <v/>
      </c>
      <c r="E9" s="25">
        <f>('2_EPS計算'!E7*(1+0.0)*(('1_輸入區'!D18+0.0)-'1_輸入區'!D19)*(1+'1_輸入區'!D20)*(1-'1_輸入區'!D21))/'1_輸入區'!$B$6</f>
        <v/>
      </c>
      <c r="F9" s="25">
        <f>('2_EPS計算'!E7*(1+0.0)*(('1_輸入區'!D18+0.015)-'1_輸入區'!D19)*(1+'1_輸入區'!D20)*(1-'1_輸入區'!D21))/'1_輸入區'!$B$6</f>
        <v/>
      </c>
      <c r="G9" s="25">
        <f>('2_EPS計算'!E7*(1+0.0)*(('1_輸入區'!D18+0.03)-'1_輸入區'!D19)*(1+'1_輸入區'!D20)*(1-'1_輸入區'!D21))/'1_輸入區'!$B$6</f>
        <v/>
      </c>
      <c r="H9" s="25">
        <f>('2_EPS計算'!E7*(1+0.0)*(('1_輸入區'!D18+0.05)-'1_輸入區'!D19)*(1+'1_輸入區'!D20)*(1-'1_輸入區'!D21))/'1_輸入區'!$B$6</f>
        <v/>
      </c>
    </row>
    <row r="10">
      <c r="A10" s="24">
        <f>SUMPRODUCT('1_輸入區'!B12:B14,'1_輸入區'!E12:E14)/SUM('1_輸入區'!B12:B14)+0.05</f>
        <v/>
      </c>
      <c r="B10" s="25">
        <f>('2_EPS計算'!E7*(1+0.05)*(('1_輸入區'!D18+-0.05)-'1_輸入區'!D19)*(1+'1_輸入區'!D20)*(1-'1_輸入區'!D21))/'1_輸入區'!$B$6</f>
        <v/>
      </c>
      <c r="C10" s="25">
        <f>('2_EPS計算'!E7*(1+0.05)*(('1_輸入區'!D18+-0.03)-'1_輸入區'!D19)*(1+'1_輸入區'!D20)*(1-'1_輸入區'!D21))/'1_輸入區'!$B$6</f>
        <v/>
      </c>
      <c r="D10" s="25">
        <f>('2_EPS計算'!E7*(1+0.05)*(('1_輸入區'!D18+-0.015)-'1_輸入區'!D19)*(1+'1_輸入區'!D20)*(1-'1_輸入區'!D21))/'1_輸入區'!$B$6</f>
        <v/>
      </c>
      <c r="E10" s="25">
        <f>('2_EPS計算'!E7*(1+0.05)*(('1_輸入區'!D18+0.0)-'1_輸入區'!D19)*(1+'1_輸入區'!D20)*(1-'1_輸入區'!D21))/'1_輸入區'!$B$6</f>
        <v/>
      </c>
      <c r="F10" s="25">
        <f>('2_EPS計算'!E7*(1+0.05)*(('1_輸入區'!D18+0.015)-'1_輸入區'!D19)*(1+'1_輸入區'!D20)*(1-'1_輸入區'!D21))/'1_輸入區'!$B$6</f>
        <v/>
      </c>
      <c r="G10" s="25">
        <f>('2_EPS計算'!E7*(1+0.05)*(('1_輸入區'!D18+0.03)-'1_輸入區'!D19)*(1+'1_輸入區'!D20)*(1-'1_輸入區'!D21))/'1_輸入區'!$B$6</f>
        <v/>
      </c>
      <c r="H10" s="25">
        <f>('2_EPS計算'!E7*(1+0.05)*(('1_輸入區'!D18+0.05)-'1_輸入區'!D19)*(1+'1_輸入區'!D20)*(1-'1_輸入區'!D21))/'1_輸入區'!$B$6</f>
        <v/>
      </c>
    </row>
    <row r="11">
      <c r="A11" s="24">
        <f>SUMPRODUCT('1_輸入區'!B12:B14,'1_輸入區'!E12:E14)/SUM('1_輸入區'!B12:B14)+0.1</f>
        <v/>
      </c>
      <c r="B11" s="25">
        <f>('2_EPS計算'!E7*(1+0.1)*(('1_輸入區'!D18+-0.05)-'1_輸入區'!D19)*(1+'1_輸入區'!D20)*(1-'1_輸入區'!D21))/'1_輸入區'!$B$6</f>
        <v/>
      </c>
      <c r="C11" s="25">
        <f>('2_EPS計算'!E7*(1+0.1)*(('1_輸入區'!D18+-0.03)-'1_輸入區'!D19)*(1+'1_輸入區'!D20)*(1-'1_輸入區'!D21))/'1_輸入區'!$B$6</f>
        <v/>
      </c>
      <c r="D11" s="25">
        <f>('2_EPS計算'!E7*(1+0.1)*(('1_輸入區'!D18+-0.015)-'1_輸入區'!D19)*(1+'1_輸入區'!D20)*(1-'1_輸入區'!D21))/'1_輸入區'!$B$6</f>
        <v/>
      </c>
      <c r="E11" s="25">
        <f>('2_EPS計算'!E7*(1+0.1)*(('1_輸入區'!D18+0.0)-'1_輸入區'!D19)*(1+'1_輸入區'!D20)*(1-'1_輸入區'!D21))/'1_輸入區'!$B$6</f>
        <v/>
      </c>
      <c r="F11" s="25">
        <f>('2_EPS計算'!E7*(1+0.1)*(('1_輸入區'!D18+0.015)-'1_輸入區'!D19)*(1+'1_輸入區'!D20)*(1-'1_輸入區'!D21))/'1_輸入區'!$B$6</f>
        <v/>
      </c>
      <c r="G11" s="25">
        <f>('2_EPS計算'!E7*(1+0.1)*(('1_輸入區'!D18+0.03)-'1_輸入區'!D19)*(1+'1_輸入區'!D20)*(1-'1_輸入區'!D21))/'1_輸入區'!$B$6</f>
        <v/>
      </c>
      <c r="H11" s="25">
        <f>('2_EPS計算'!E7*(1+0.1)*(('1_輸入區'!D18+0.05)-'1_輸入區'!D19)*(1+'1_輸入區'!D20)*(1-'1_輸入區'!D21))/'1_輸入區'!$B$6</f>
        <v/>
      </c>
    </row>
    <row r="12">
      <c r="A12" s="24">
        <f>SUMPRODUCT('1_輸入區'!B12:B14,'1_輸入區'!E12:E14)/SUM('1_輸入區'!B12:B14)+0.15</f>
        <v/>
      </c>
      <c r="B12" s="25">
        <f>('2_EPS計算'!E7*(1+0.15)*(('1_輸入區'!D18+-0.05)-'1_輸入區'!D19)*(1+'1_輸入區'!D20)*(1-'1_輸入區'!D21))/'1_輸入區'!$B$6</f>
        <v/>
      </c>
      <c r="C12" s="25">
        <f>('2_EPS計算'!E7*(1+0.15)*(('1_輸入區'!D18+-0.03)-'1_輸入區'!D19)*(1+'1_輸入區'!D20)*(1-'1_輸入區'!D21))/'1_輸入區'!$B$6</f>
        <v/>
      </c>
      <c r="D12" s="25">
        <f>('2_EPS計算'!E7*(1+0.15)*(('1_輸入區'!D18+-0.015)-'1_輸入區'!D19)*(1+'1_輸入區'!D20)*(1-'1_輸入區'!D21))/'1_輸入區'!$B$6</f>
        <v/>
      </c>
      <c r="E12" s="25">
        <f>('2_EPS計算'!E7*(1+0.15)*(('1_輸入區'!D18+0.0)-'1_輸入區'!D19)*(1+'1_輸入區'!D20)*(1-'1_輸入區'!D21))/'1_輸入區'!$B$6</f>
        <v/>
      </c>
      <c r="F12" s="25">
        <f>('2_EPS計算'!E7*(1+0.15)*(('1_輸入區'!D18+0.015)-'1_輸入區'!D19)*(1+'1_輸入區'!D20)*(1-'1_輸入區'!D21))/'1_輸入區'!$B$6</f>
        <v/>
      </c>
      <c r="G12" s="25">
        <f>('2_EPS計算'!E7*(1+0.15)*(('1_輸入區'!D18+0.03)-'1_輸入區'!D19)*(1+'1_輸入區'!D20)*(1-'1_輸入區'!D21))/'1_輸入區'!$B$6</f>
        <v/>
      </c>
      <c r="H12" s="25">
        <f>('2_EPS計算'!E7*(1+0.15)*(('1_輸入區'!D18+0.05)-'1_輸入區'!D19)*(1+'1_輸入區'!D20)*(1-'1_輸入區'!D21))/'1_輸入區'!$B$6</f>
        <v/>
      </c>
    </row>
    <row r="15">
      <c r="A15" s="6" t="inlineStr">
        <is>
          <t>矩陣B：2028E EPS × PE → 目標價（綠＝高於現價，紅＝低於現價）</t>
        </is>
      </c>
    </row>
    <row r="17">
      <c r="A17" s="14" t="inlineStr">
        <is>
          <t>EPS\PE</t>
        </is>
      </c>
      <c r="B17" s="26" t="n">
        <v>16</v>
      </c>
      <c r="C17" s="26" t="n">
        <v>20</v>
      </c>
      <c r="D17" s="26" t="n">
        <v>25</v>
      </c>
      <c r="E17" s="26" t="n">
        <v>27</v>
      </c>
      <c r="F17" s="26" t="n">
        <v>30</v>
      </c>
      <c r="G17" s="26" t="n">
        <v>32</v>
      </c>
      <c r="H17" s="26" t="n">
        <v>40</v>
      </c>
    </row>
    <row r="18">
      <c r="A18" s="24">
        <f>A6</f>
        <v/>
      </c>
      <c r="B18" s="16">
        <f>D6*B17</f>
        <v/>
      </c>
      <c r="C18" s="16">
        <f>D6*C17</f>
        <v/>
      </c>
      <c r="D18" s="16">
        <f>D6*D17</f>
        <v/>
      </c>
      <c r="E18" s="16">
        <f>D6*E17</f>
        <v/>
      </c>
      <c r="F18" s="16">
        <f>D6*F17</f>
        <v/>
      </c>
      <c r="G18" s="16">
        <f>D6*G17</f>
        <v/>
      </c>
      <c r="H18" s="16">
        <f>D6*H17</f>
        <v/>
      </c>
    </row>
    <row r="19">
      <c r="A19" s="24">
        <f>A7</f>
        <v/>
      </c>
      <c r="B19" s="16">
        <f>D7*B17</f>
        <v/>
      </c>
      <c r="C19" s="16">
        <f>D7*C17</f>
        <v/>
      </c>
      <c r="D19" s="16">
        <f>D7*D17</f>
        <v/>
      </c>
      <c r="E19" s="16">
        <f>D7*E17</f>
        <v/>
      </c>
      <c r="F19" s="16">
        <f>D7*F17</f>
        <v/>
      </c>
      <c r="G19" s="16">
        <f>D7*G17</f>
        <v/>
      </c>
      <c r="H19" s="16">
        <f>D7*H17</f>
        <v/>
      </c>
    </row>
    <row r="20">
      <c r="A20" s="24">
        <f>A8</f>
        <v/>
      </c>
      <c r="B20" s="16">
        <f>D8*B17</f>
        <v/>
      </c>
      <c r="C20" s="16">
        <f>D8*C17</f>
        <v/>
      </c>
      <c r="D20" s="16">
        <f>D8*D17</f>
        <v/>
      </c>
      <c r="E20" s="16">
        <f>D8*E17</f>
        <v/>
      </c>
      <c r="F20" s="16">
        <f>D8*F17</f>
        <v/>
      </c>
      <c r="G20" s="16">
        <f>D8*G17</f>
        <v/>
      </c>
      <c r="H20" s="16">
        <f>D8*H17</f>
        <v/>
      </c>
    </row>
    <row r="21">
      <c r="A21" s="24">
        <f>A9</f>
        <v/>
      </c>
      <c r="B21" s="16">
        <f>D9*B17</f>
        <v/>
      </c>
      <c r="C21" s="16">
        <f>D9*C17</f>
        <v/>
      </c>
      <c r="D21" s="16">
        <f>D9*D17</f>
        <v/>
      </c>
      <c r="E21" s="16">
        <f>D9*E17</f>
        <v/>
      </c>
      <c r="F21" s="16">
        <f>D9*F17</f>
        <v/>
      </c>
      <c r="G21" s="16">
        <f>D9*G17</f>
        <v/>
      </c>
      <c r="H21" s="16">
        <f>D9*H17</f>
        <v/>
      </c>
    </row>
    <row r="22">
      <c r="A22" s="24">
        <f>A10</f>
        <v/>
      </c>
      <c r="B22" s="16">
        <f>D10*B17</f>
        <v/>
      </c>
      <c r="C22" s="16">
        <f>D10*C17</f>
        <v/>
      </c>
      <c r="D22" s="16">
        <f>D10*D17</f>
        <v/>
      </c>
      <c r="E22" s="16">
        <f>D10*E17</f>
        <v/>
      </c>
      <c r="F22" s="16">
        <f>D10*F17</f>
        <v/>
      </c>
      <c r="G22" s="16">
        <f>D10*G17</f>
        <v/>
      </c>
      <c r="H22" s="16">
        <f>D10*H17</f>
        <v/>
      </c>
    </row>
    <row r="23">
      <c r="A23" s="24">
        <f>A11</f>
        <v/>
      </c>
      <c r="B23" s="16">
        <f>D11*B17</f>
        <v/>
      </c>
      <c r="C23" s="16">
        <f>D11*C17</f>
        <v/>
      </c>
      <c r="D23" s="16">
        <f>D11*D17</f>
        <v/>
      </c>
      <c r="E23" s="16">
        <f>D11*E17</f>
        <v/>
      </c>
      <c r="F23" s="16">
        <f>D11*F17</f>
        <v/>
      </c>
      <c r="G23" s="16">
        <f>D11*G17</f>
        <v/>
      </c>
      <c r="H23" s="16">
        <f>D11*H17</f>
        <v/>
      </c>
    </row>
    <row r="24">
      <c r="A24" s="24">
        <f>A12</f>
        <v/>
      </c>
      <c r="B24" s="16">
        <f>D12*B17</f>
        <v/>
      </c>
      <c r="C24" s="16">
        <f>D12*C17</f>
        <v/>
      </c>
      <c r="D24" s="16">
        <f>D12*D17</f>
        <v/>
      </c>
      <c r="E24" s="16">
        <f>D12*E17</f>
        <v/>
      </c>
      <c r="F24" s="16">
        <f>D12*F17</f>
        <v/>
      </c>
      <c r="G24" s="16">
        <f>D12*G17</f>
        <v/>
      </c>
      <c r="H24" s="16">
        <f>D12*H17</f>
        <v/>
      </c>
    </row>
  </sheetData>
  <mergeCells count="2">
    <mergeCell ref="A3:H3"/>
    <mergeCell ref="A15:H15"/>
  </mergeCells>
  <conditionalFormatting sqref="B18:H24">
    <cfRule type="cellIs" priority="1" operator="greaterThan" dxfId="0">
      <formula>'1_輸入區'!$B$5</formula>
    </cfRule>
    <cfRule type="cellIs" priority="2" operator="lessThan" dxfId="1">
      <formula>'1_輸入區'!$B$5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三情境目標價 + 機率加權 + 隱含成長率檢核</t>
        </is>
      </c>
    </row>
    <row r="3">
      <c r="A3" s="3" t="inlineStr">
        <is>
          <t>情境</t>
        </is>
      </c>
      <c r="B3" s="3" t="inlineStr">
        <is>
          <t>機率</t>
        </is>
      </c>
      <c r="C3" s="3" t="inlineStr">
        <is>
          <t>2028E EPS</t>
        </is>
      </c>
      <c r="D3" s="3" t="inlineStr">
        <is>
          <t>情境PE</t>
        </is>
      </c>
      <c r="E3" s="3" t="inlineStr">
        <is>
          <t>目標價</t>
        </is>
      </c>
      <c r="F3" s="3" t="inlineStr">
        <is>
          <t>vs 現價</t>
        </is>
      </c>
    </row>
    <row r="4">
      <c r="A4" s="27">
        <f>'1_輸入區'!A33</f>
        <v/>
      </c>
      <c r="B4" s="20">
        <f>'1_輸入區'!B33</f>
        <v/>
      </c>
      <c r="C4" s="25">
        <f>('2_EPS計算'!E7*(1+'1_輸入區'!C33)*(('2_EPS計算'!E8+'1_輸入區'!D33)-'2_EPS計算'!E10+'2_EPS計算'!E12)*(1-'2_EPS計算'!E14))/'1_輸入區'!$B$6</f>
        <v/>
      </c>
      <c r="D4" s="28">
        <f>'1_輸入區'!E33</f>
        <v/>
      </c>
      <c r="E4" s="18">
        <f>C4*D4</f>
        <v/>
      </c>
      <c r="F4" s="29">
        <f>E4/'1_輸入區'!$B$5-1</f>
        <v/>
      </c>
    </row>
    <row r="5">
      <c r="A5" s="27">
        <f>'1_輸入區'!A34</f>
        <v/>
      </c>
      <c r="B5" s="20">
        <f>'1_輸入區'!B34</f>
        <v/>
      </c>
      <c r="C5" s="25">
        <f>('2_EPS計算'!E7*(1+'1_輸入區'!C34)*(('2_EPS計算'!E8+'1_輸入區'!D34)-'2_EPS計算'!E10+'2_EPS計算'!E12)*(1-'2_EPS計算'!E14))/'1_輸入區'!$B$6</f>
        <v/>
      </c>
      <c r="D5" s="28">
        <f>'1_輸入區'!E34</f>
        <v/>
      </c>
      <c r="E5" s="18">
        <f>C5*D5</f>
        <v/>
      </c>
      <c r="F5" s="29">
        <f>E5/'1_輸入區'!$B$5-1</f>
        <v/>
      </c>
    </row>
    <row r="6">
      <c r="A6" s="27">
        <f>'1_輸入區'!A35</f>
        <v/>
      </c>
      <c r="B6" s="20">
        <f>'1_輸入區'!B35</f>
        <v/>
      </c>
      <c r="C6" s="25">
        <f>('2_EPS計算'!E7*(1+'1_輸入區'!C35)*(('2_EPS計算'!E8+'1_輸入區'!D35)-'2_EPS計算'!E10+'2_EPS計算'!E12)*(1-'2_EPS計算'!E14))/'1_輸入區'!$B$6</f>
        <v/>
      </c>
      <c r="D6" s="28">
        <f>'1_輸入區'!E35</f>
        <v/>
      </c>
      <c r="E6" s="18">
        <f>C6*D6</f>
        <v/>
      </c>
      <c r="F6" s="29">
        <f>E6/'1_輸入區'!$B$5-1</f>
        <v/>
      </c>
    </row>
    <row r="7">
      <c r="A7" s="27">
        <f>'1_輸入區'!A36</f>
        <v/>
      </c>
      <c r="B7" s="20">
        <f>'1_輸入區'!B36</f>
        <v/>
      </c>
      <c r="C7" s="25">
        <f>('2_EPS計算'!E7*(1+'1_輸入區'!C36)*(('2_EPS計算'!E8+'1_輸入區'!D36)-'2_EPS計算'!E10+'2_EPS計算'!E12)*(1-'2_EPS計算'!E14))/'1_輸入區'!$B$6</f>
        <v/>
      </c>
      <c r="D7" s="28">
        <f>'1_輸入區'!E36</f>
        <v/>
      </c>
      <c r="E7" s="18">
        <f>C7*D7</f>
        <v/>
      </c>
      <c r="F7" s="29">
        <f>E7/'1_輸入區'!$B$5-1</f>
        <v/>
      </c>
    </row>
    <row r="8">
      <c r="A8" s="30" t="inlineStr">
        <is>
          <t>機率加權目標價</t>
        </is>
      </c>
      <c r="E8" s="31">
        <f>SUMPRODUCT(B4:B7,E4:E7)</f>
        <v/>
      </c>
      <c r="F8" s="32">
        <f>E8/'1_輸入區'!$B$5-1</f>
        <v/>
      </c>
    </row>
    <row r="10">
      <c r="A10" s="3" t="inlineStr">
        <is>
          <t>現況本益比基準對照組（不含重評假設，僅反映EPS成長）</t>
        </is>
      </c>
    </row>
    <row r="11">
      <c r="A11" s="2" t="inlineStr">
        <is>
          <t>用途：情境目標價已內含PE重評（現況本益比→22-26x），此組固定用現況PE，隔離「純獲利成長」帶來的目標價，供交叉比對</t>
        </is>
      </c>
    </row>
    <row r="12">
      <c r="A12" s="14" t="inlineStr">
        <is>
          <t>年度</t>
        </is>
      </c>
      <c r="B12" s="14" t="inlineStr">
        <is>
          <t>EPS</t>
        </is>
      </c>
      <c r="C12" s="14" t="inlineStr">
        <is>
          <t>現況PE基準</t>
        </is>
      </c>
      <c r="D12" s="14" t="inlineStr">
        <is>
          <t>目標價（不重評）</t>
        </is>
      </c>
      <c r="E12" s="14" t="inlineStr">
        <is>
          <t>vs 現價</t>
        </is>
      </c>
    </row>
    <row r="13">
      <c r="A13" s="9" t="inlineStr">
        <is>
          <t>2026E</t>
        </is>
      </c>
      <c r="B13" s="21">
        <f>'2_EPS計算'!C16</f>
        <v/>
      </c>
      <c r="C13" s="28">
        <f>'1_輸入區'!$B$29</f>
        <v/>
      </c>
      <c r="D13" s="18">
        <f>B13*C13</f>
        <v/>
      </c>
      <c r="E13" s="29">
        <f>D13/'1_輸入區'!$B$5-1</f>
        <v/>
      </c>
    </row>
    <row r="14">
      <c r="A14" s="9" t="inlineStr">
        <is>
          <t>2027E</t>
        </is>
      </c>
      <c r="B14" s="21">
        <f>'2_EPS計算'!D16</f>
        <v/>
      </c>
      <c r="C14" s="28">
        <f>'1_輸入區'!$B$29</f>
        <v/>
      </c>
      <c r="D14" s="18">
        <f>B14*C14</f>
        <v/>
      </c>
      <c r="E14" s="29">
        <f>D14/'1_輸入區'!$B$5-1</f>
        <v/>
      </c>
    </row>
    <row r="15">
      <c r="A15" s="9" t="inlineStr">
        <is>
          <t>2028E</t>
        </is>
      </c>
      <c r="B15" s="21">
        <f>'2_EPS計算'!E16</f>
        <v/>
      </c>
      <c r="C15" s="28">
        <f>'1_輸入區'!$B$29</f>
        <v/>
      </c>
      <c r="D15" s="18">
        <f>B15*C15</f>
        <v/>
      </c>
      <c r="E15" s="29">
        <f>D15/'1_輸入區'!$B$5-1</f>
        <v/>
      </c>
    </row>
    <row r="17">
      <c r="A17" s="3" t="inlineStr">
        <is>
          <t>隱含成長率檢核（現價反推）</t>
        </is>
      </c>
    </row>
    <row r="18">
      <c r="A18" s="4" t="inlineStr">
        <is>
          <t>股價隱含年化成長率</t>
        </is>
      </c>
      <c r="B18" s="29">
        <f>('1_輸入區'!$B$5/('1_輸入區'!$B$26*'1_輸入區'!$B$8))^(1/'1_輸入區'!$B$27)-1</f>
        <v/>
      </c>
    </row>
    <row r="19">
      <c r="A19" s="4" t="inlineStr">
        <is>
          <t>產業平均成長率</t>
        </is>
      </c>
      <c r="B19" s="20">
        <f>'1_輸入區'!$B$28</f>
        <v/>
      </c>
    </row>
    <row r="20">
      <c r="A20" s="4" t="inlineStr">
        <is>
          <t>隱含成長率 / 產業平均</t>
        </is>
      </c>
      <c r="B20" s="29">
        <f>B18/B19</f>
        <v/>
      </c>
    </row>
    <row r="21">
      <c r="A21" s="17" t="inlineStr">
        <is>
          <t>判讀</t>
        </is>
      </c>
      <c r="B21" s="17">
        <f>IF(B20&gt;1.5,"🔴 隱含成長率遠高於產業，估值偏樂觀",IF(B20&lt;0.7,"🟢 隱含成長率低於產業，可能低估","🟡 隱含成長率與產業相近，估值合理"))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2026-08-07T15:52:40Z</dcterms:created>
  <dcterms:modified xmlns:dcterms="http://purl.org/dc/terms/" xmlns:xsi="http://www.w3.org/2001/XMLSchema-instance" xsi:type="dcterms:W3CDTF">2026-08-07T15:52:40Z</dcterms:modified>
</cp:coreProperties>
</file>