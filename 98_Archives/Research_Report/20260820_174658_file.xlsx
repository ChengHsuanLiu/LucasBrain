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v31改動與假設" sheetId="1" state="visible" r:id="rId3"/>
    <sheet name="1_營收驅動" sheetId="2" state="visible" r:id="rId4"/>
    <sheet name="2_月度損益表" sheetId="3" state="visible" r:id="rId5"/>
    <sheet name="3_彙總與對照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<sst xmlns="http://schemas.openxmlformats.org/spreadsheetml/2006/main" count="190" uniqueCount="186">
  <si>
    <r>
      <rPr>
        <b val="true"/>
        <sz val="13"/>
        <rFont val="Noto Sans CJK SC"/>
        <family val="2"/>
      </rPr>
      <t xml:space="preserve">聯茂 </t>
    </r>
    <r>
      <rPr>
        <b val="true"/>
        <sz val="13"/>
        <rFont val="Arial"/>
        <family val="0"/>
        <charset val="1"/>
      </rPr>
      <t xml:space="preserve">6213</t>
    </r>
    <r>
      <rPr>
        <b val="true"/>
        <sz val="13"/>
        <rFont val="Noto Sans CJK SC"/>
        <family val="2"/>
      </rPr>
      <t xml:space="preserve">｜</t>
    </r>
    <r>
      <rPr>
        <b val="true"/>
        <sz val="13"/>
        <rFont val="Arial"/>
        <family val="0"/>
        <charset val="1"/>
      </rPr>
      <t xml:space="preserve">v31 </t>
    </r>
    <r>
      <rPr>
        <b val="true"/>
        <sz val="13"/>
        <rFont val="Noto Sans CJK SC"/>
        <family val="2"/>
      </rPr>
      <t xml:space="preserve">損益模型  改動與假設</t>
    </r>
  </si>
  <si>
    <r>
      <rPr>
        <i val="true"/>
        <sz val="9"/>
        <rFont val="Noto Sans CJK SC"/>
        <family val="2"/>
      </rPr>
      <t xml:space="preserve">基準版本：</t>
    </r>
    <r>
      <rPr>
        <i val="true"/>
        <sz val="9"/>
        <rFont val="Arial"/>
        <family val="0"/>
        <charset val="1"/>
      </rPr>
      <t xml:space="preserve">v30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20260818</t>
    </r>
    <r>
      <rPr>
        <i val="true"/>
        <sz val="9"/>
        <rFont val="Noto Sans CJK SC"/>
        <family val="2"/>
      </rPr>
      <t xml:space="preserve">）｜本版觸發：</t>
    </r>
    <r>
      <rPr>
        <i val="true"/>
        <sz val="9"/>
        <rFont val="Arial"/>
        <family val="0"/>
        <charset val="1"/>
      </rPr>
      <t xml:space="preserve">Wallace </t>
    </r>
    <r>
      <rPr>
        <i val="true"/>
        <sz val="9"/>
        <rFont val="Noto Sans CJK SC"/>
        <family val="2"/>
      </rPr>
      <t xml:space="preserve">裁示拆出獨立 </t>
    </r>
    <r>
      <rPr>
        <i val="true"/>
        <sz val="9"/>
        <rFont val="Arial"/>
        <family val="0"/>
        <charset val="1"/>
      </rPr>
      <t xml:space="preserve">M9 </t>
    </r>
    <r>
      <rPr>
        <i val="true"/>
        <sz val="9"/>
        <rFont val="Noto Sans CJK SC"/>
        <family val="2"/>
      </rPr>
      <t xml:space="preserve">線＋重建可見驅動引擎｜建立日：</t>
    </r>
    <r>
      <rPr>
        <i val="true"/>
        <sz val="9"/>
        <rFont val="Arial"/>
        <family val="0"/>
        <charset val="1"/>
      </rPr>
      <t xml:space="preserve">2026-08-18</t>
    </r>
  </si>
  <si>
    <t xml:space="preserve">一、本版三項改動</t>
  </si>
  <si>
    <t xml:space="preserve">項目</t>
  </si>
  <si>
    <t xml:space="preserve">v30</t>
  </si>
  <si>
    <t xml:space="preserve">v31</t>
  </si>
  <si>
    <t xml:space="preserve">影響</t>
  </si>
  <si>
    <t xml:space="preserve">依據／說明</t>
  </si>
  <si>
    <t xml:space="preserve">① 重建可見驅動引擎</t>
  </si>
  <si>
    <t xml:space="preserve">無（僅損益表）</t>
  </si>
  <si>
    <r>
      <rPr>
        <sz val="10"/>
        <color rgb="FF0000FF"/>
        <rFont val="Arial"/>
        <family val="0"/>
        <charset val="1"/>
      </rPr>
      <t xml:space="preserve">1_</t>
    </r>
    <r>
      <rPr>
        <sz val="10"/>
        <color rgb="FF0000FF"/>
        <rFont val="Noto Sans CJK SC"/>
        <family val="2"/>
      </rPr>
      <t xml:space="preserve">營收驅動 分頁</t>
    </r>
  </si>
  <si>
    <t xml:space="preserve">可稽核／可重現</t>
  </si>
  <si>
    <r>
      <rPr>
        <sz val="9"/>
        <rFont val="Arial"/>
        <family val="0"/>
        <charset val="1"/>
      </rPr>
      <t xml:space="preserve">v29/v30 </t>
    </r>
    <r>
      <rPr>
        <sz val="9"/>
        <rFont val="Noto Sans CJK SC"/>
        <family val="2"/>
      </rPr>
      <t xml:space="preserve">的 </t>
    </r>
    <r>
      <rPr>
        <sz val="9"/>
        <rFont val="Arial"/>
        <family val="0"/>
        <charset val="1"/>
      </rPr>
      <t xml:space="preserve">xlsx </t>
    </r>
    <r>
      <rPr>
        <sz val="9"/>
        <rFont val="Noto Sans CJK SC"/>
        <family val="2"/>
      </rPr>
      <t xml:space="preserve">只有損益表，資料夾內無 </t>
    </r>
    <r>
      <rPr>
        <sz val="9"/>
        <rFont val="Arial"/>
        <family val="0"/>
        <charset val="1"/>
      </rPr>
      <t xml:space="preserve">build script </t>
    </r>
    <r>
      <rPr>
        <sz val="9"/>
        <rFont val="Noto Sans CJK SC"/>
        <family val="2"/>
      </rPr>
      <t xml:space="preserve">或 </t>
    </r>
    <r>
      <rPr>
        <sz val="9"/>
        <rFont val="Arial"/>
        <family val="0"/>
        <charset val="1"/>
      </rPr>
      <t xml:space="preserve">config</t>
    </r>
    <r>
      <rPr>
        <sz val="9"/>
        <rFont val="Noto Sans CJK SC"/>
        <family val="2"/>
      </rPr>
      <t xml:space="preserve">，模型已不可重現。本版把產能／稼動率／組合／價格指數／售價全部寫回分頁。</t>
    </r>
  </si>
  <si>
    <r>
      <rPr>
        <sz val="10"/>
        <rFont val="Arial"/>
        <family val="0"/>
        <charset val="1"/>
      </rPr>
      <t xml:space="preserve">② M9 </t>
    </r>
    <r>
      <rPr>
        <sz val="10"/>
        <rFont val="Noto Sans CJK SC"/>
        <family val="2"/>
      </rPr>
      <t xml:space="preserve">自 </t>
    </r>
    <r>
      <rPr>
        <sz val="10"/>
        <rFont val="Arial"/>
        <family val="0"/>
        <charset val="1"/>
      </rPr>
      <t xml:space="preserve">M8 </t>
    </r>
    <r>
      <rPr>
        <sz val="10"/>
        <rFont val="Noto Sans CJK SC"/>
        <family val="2"/>
      </rPr>
      <t xml:space="preserve">桶拆出</t>
    </r>
  </si>
  <si>
    <r>
      <rPr>
        <sz val="10"/>
        <rFont val="Arial"/>
        <family val="0"/>
        <charset val="1"/>
      </rPr>
      <t xml:space="preserve">M8</t>
    </r>
    <r>
      <rPr>
        <sz val="10"/>
        <rFont val="Noto Sans CJK SC"/>
        <family val="2"/>
      </rPr>
      <t xml:space="preserve">以上＝</t>
    </r>
    <r>
      <rPr>
        <sz val="10"/>
        <rFont val="Arial"/>
        <family val="0"/>
        <charset val="1"/>
      </rPr>
      <t xml:space="preserve">M7×0.20</t>
    </r>
    <r>
      <rPr>
        <sz val="10"/>
        <rFont val="Noto Sans CJK SC"/>
        <family val="2"/>
      </rPr>
      <t xml:space="preserve">，單一指數 </t>
    </r>
    <r>
      <rPr>
        <sz val="10"/>
        <rFont val="Arial"/>
        <family val="0"/>
        <charset val="1"/>
      </rPr>
      <t xml:space="preserve">2.37</t>
    </r>
  </si>
  <si>
    <r>
      <rPr>
        <sz val="10"/>
        <color rgb="FF0000FF"/>
        <rFont val="Arial"/>
        <family val="0"/>
        <charset val="1"/>
      </rPr>
      <t xml:space="preserve">M9 </t>
    </r>
    <r>
      <rPr>
        <sz val="10"/>
        <color rgb="FF0000FF"/>
        <rFont val="Noto Sans CJK SC"/>
        <family val="2"/>
      </rPr>
      <t xml:space="preserve">獨立線，量佔比 </t>
    </r>
    <r>
      <rPr>
        <sz val="10"/>
        <color rgb="FF0000FF"/>
        <rFont val="Arial"/>
        <family val="0"/>
        <charset val="1"/>
      </rPr>
      <t xml:space="preserve">2%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2027</t>
    </r>
    <r>
      <rPr>
        <sz val="10"/>
        <color rgb="FF0000FF"/>
        <rFont val="Noto Sans CJK SC"/>
        <family val="2"/>
      </rPr>
      <t xml:space="preserve">年均），指數 </t>
    </r>
    <r>
      <rPr>
        <sz val="10"/>
        <color rgb="FF0000FF"/>
        <rFont val="Arial"/>
        <family val="0"/>
        <charset val="1"/>
      </rPr>
      <t xml:space="preserve">8.00</t>
    </r>
    <r>
      <rPr>
        <sz val="10"/>
        <color rgb="FF0000FF"/>
        <rFont val="Noto Sans CJK SC"/>
        <family val="2"/>
      </rPr>
      <t xml:space="preserve">，毛利率 </t>
    </r>
    <r>
      <rPr>
        <sz val="10"/>
        <color rgb="FF0000FF"/>
        <rFont val="Arial"/>
        <family val="0"/>
        <charset val="1"/>
      </rPr>
      <t xml:space="preserve">50%</t>
    </r>
  </si>
  <si>
    <t xml:space="preserve">2027 GM +1.72pp</t>
  </si>
  <si>
    <r>
      <rPr>
        <sz val="9"/>
        <rFont val="Arial"/>
        <family val="0"/>
        <charset val="1"/>
      </rPr>
      <t xml:space="preserve">★Wallace </t>
    </r>
    <r>
      <rPr>
        <sz val="9"/>
        <rFont val="Noto Sans CJK SC"/>
        <family val="2"/>
      </rPr>
      <t xml:space="preserve">裁示（價格指數來自板廠，準確性高）。原做法把 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與 </t>
    </r>
    <r>
      <rPr>
        <sz val="9"/>
        <rFont val="Arial"/>
        <family val="0"/>
        <charset val="1"/>
      </rPr>
      <t xml:space="preserve">M8 </t>
    </r>
    <r>
      <rPr>
        <sz val="9"/>
        <rFont val="Noto Sans CJK SC"/>
        <family val="2"/>
      </rPr>
      <t xml:space="preserve">併桶用 </t>
    </r>
    <r>
      <rPr>
        <sz val="9"/>
        <rFont val="Arial"/>
        <family val="0"/>
        <charset val="1"/>
      </rPr>
      <t xml:space="preserve">2.37</t>
    </r>
    <r>
      <rPr>
        <sz val="9"/>
        <rFont val="Noto Sans CJK SC"/>
        <family val="2"/>
      </rPr>
      <t xml:space="preserve">，低於 </t>
    </r>
    <r>
      <rPr>
        <sz val="9"/>
        <rFont val="Arial"/>
        <family val="0"/>
        <charset val="1"/>
      </rPr>
      <t xml:space="preserve">M8 </t>
    </r>
    <r>
      <rPr>
        <sz val="9"/>
        <rFont val="Noto Sans CJK SC"/>
        <family val="2"/>
      </rPr>
      <t xml:space="preserve">自身的 </t>
    </r>
    <r>
      <rPr>
        <sz val="9"/>
        <rFont val="Arial"/>
        <family val="0"/>
        <charset val="1"/>
      </rPr>
      <t xml:space="preserve">3.00</t>
    </r>
    <r>
      <rPr>
        <sz val="9"/>
        <rFont val="Noto Sans CJK SC"/>
        <family val="2"/>
      </rPr>
      <t xml:space="preserve">，等於把 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當成比 </t>
    </r>
    <r>
      <rPr>
        <sz val="9"/>
        <rFont val="Arial"/>
        <family val="0"/>
        <charset val="1"/>
      </rPr>
      <t xml:space="preserve">M8 </t>
    </r>
    <r>
      <rPr>
        <sz val="9"/>
        <rFont val="Noto Sans CJK SC"/>
        <family val="2"/>
      </rPr>
      <t xml:space="preserve">便宜的東西算；且 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無獨立放量曲線。法說：台光電 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為 </t>
    </r>
    <r>
      <rPr>
        <sz val="9"/>
        <rFont val="Arial"/>
        <family val="0"/>
        <charset val="1"/>
      </rPr>
      <t xml:space="preserve">3Q26 </t>
    </r>
    <r>
      <rPr>
        <sz val="9"/>
        <rFont val="Noto Sans CJK SC"/>
        <family val="2"/>
      </rPr>
      <t xml:space="preserve">出貨、聯茂落後兩季→</t>
    </r>
    <r>
      <rPr>
        <sz val="9"/>
        <rFont val="Arial"/>
        <family val="0"/>
        <charset val="1"/>
      </rPr>
      <t xml:space="preserve">1Q27 </t>
    </r>
    <r>
      <rPr>
        <sz val="9"/>
        <rFont val="Noto Sans CJK SC"/>
        <family val="2"/>
      </rPr>
      <t xml:space="preserve">起，「明年初才少量放量」，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毛利率「至少 </t>
    </r>
    <r>
      <rPr>
        <sz val="9"/>
        <rFont val="Arial"/>
        <family val="0"/>
        <charset val="1"/>
      </rPr>
      <t xml:space="preserve">50% </t>
    </r>
    <r>
      <rPr>
        <sz val="9"/>
        <rFont val="Noto Sans CJK SC"/>
        <family val="2"/>
      </rPr>
      <t xml:space="preserve">起」。</t>
    </r>
  </si>
  <si>
    <r>
      <rPr>
        <sz val="10"/>
        <rFont val="Arial"/>
        <family val="0"/>
        <charset val="1"/>
      </rPr>
      <t xml:space="preserve">③ M8/M8U </t>
    </r>
    <r>
      <rPr>
        <sz val="10"/>
        <rFont val="Noto Sans CJK SC"/>
        <family val="2"/>
      </rPr>
      <t xml:space="preserve">係數與指數</t>
    </r>
  </si>
  <si>
    <r>
      <rPr>
        <sz val="10"/>
        <rFont val="Arial"/>
        <family val="0"/>
        <charset val="1"/>
      </rPr>
      <t xml:space="preserve">M7×0.20</t>
    </r>
    <r>
      <rPr>
        <sz val="10"/>
        <rFont val="Noto Sans CJK SC"/>
        <family val="2"/>
      </rPr>
      <t xml:space="preserve">，指數 </t>
    </r>
    <r>
      <rPr>
        <sz val="10"/>
        <rFont val="Arial"/>
        <family val="0"/>
        <charset val="1"/>
      </rPr>
      <t xml:space="preserve">2.37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GM 49%</t>
    </r>
  </si>
  <si>
    <r>
      <rPr>
        <sz val="10"/>
        <color rgb="FF0000FF"/>
        <rFont val="Arial"/>
        <family val="0"/>
        <charset val="1"/>
      </rPr>
      <t xml:space="preserve">M7×0.12</t>
    </r>
    <r>
      <rPr>
        <sz val="10"/>
        <color rgb="FF0000FF"/>
        <rFont val="Noto Sans CJK SC"/>
        <family val="2"/>
      </rPr>
      <t xml:space="preserve">，指數 </t>
    </r>
    <r>
      <rPr>
        <sz val="10"/>
        <color rgb="FF0000FF"/>
        <rFont val="Arial"/>
        <family val="0"/>
        <charset val="1"/>
      </rPr>
      <t xml:space="preserve">3.00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GM 48%</t>
    </r>
  </si>
  <si>
    <t xml:space="preserve">—</t>
  </si>
  <si>
    <r>
      <rPr>
        <sz val="9"/>
        <rFont val="Noto Sans CJK SC"/>
        <family val="2"/>
      </rPr>
      <t xml:space="preserve">原 </t>
    </r>
    <r>
      <rPr>
        <sz val="9"/>
        <rFont val="Arial"/>
        <family val="0"/>
        <charset val="1"/>
      </rPr>
      <t xml:space="preserve">0.20 </t>
    </r>
    <r>
      <rPr>
        <sz val="9"/>
        <rFont val="Noto Sans CJK SC"/>
        <family val="2"/>
      </rPr>
      <t xml:space="preserve">為 </t>
    </r>
    <r>
      <rPr>
        <sz val="9"/>
        <rFont val="Arial"/>
        <family val="0"/>
        <charset val="1"/>
      </rPr>
      <t xml:space="preserve">M8</t>
    </r>
    <r>
      <rPr>
        <sz val="9"/>
        <rFont val="Noto Sans CJK SC"/>
        <family val="2"/>
      </rPr>
      <t xml:space="preserve">＋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合計；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抽出後降至 </t>
    </r>
    <r>
      <rPr>
        <sz val="9"/>
        <rFont val="Arial"/>
        <family val="0"/>
        <charset val="1"/>
      </rPr>
      <t xml:space="preserve">0.12</t>
    </r>
    <r>
      <rPr>
        <sz val="9"/>
        <rFont val="Noto Sans CJK SC"/>
        <family val="2"/>
      </rPr>
      <t xml:space="preserve">。指數改用價格指數表的 </t>
    </r>
    <r>
      <rPr>
        <sz val="9"/>
        <rFont val="Arial"/>
        <family val="0"/>
        <charset val="1"/>
      </rPr>
      <t xml:space="preserve">M8 </t>
    </r>
    <r>
      <rPr>
        <sz val="9"/>
        <rFont val="Noto Sans CJK SC"/>
        <family val="2"/>
      </rPr>
      <t xml:space="preserve">真值 </t>
    </r>
    <r>
      <rPr>
        <sz val="9"/>
        <rFont val="Arial"/>
        <family val="0"/>
        <charset val="1"/>
      </rPr>
      <t xml:space="preserve">3.00</t>
    </r>
    <r>
      <rPr>
        <sz val="9"/>
        <rFont val="Noto Sans CJK SC"/>
        <family val="2"/>
      </rPr>
      <t xml:space="preserve">。</t>
    </r>
  </si>
  <si>
    <t xml:space="preserve">④ 售價路徑改為由營收錨點反解</t>
  </si>
  <si>
    <t xml:space="preserve">外生給定</t>
  </si>
  <si>
    <t xml:space="preserve">內生反解</t>
  </si>
  <si>
    <t xml:space="preserve">營收不變</t>
  </si>
  <si>
    <r>
      <rPr>
        <sz val="9"/>
        <rFont val="Arial"/>
        <family val="0"/>
        <charset val="1"/>
      </rPr>
      <t xml:space="preserve">★v28 </t>
    </r>
    <r>
      <rPr>
        <sz val="9"/>
        <rFont val="Noto Sans CJK SC"/>
        <family val="2"/>
      </rPr>
      <t xml:space="preserve">驅動 </t>
    </r>
    <r>
      <rPr>
        <sz val="9"/>
        <rFont val="Arial"/>
        <family val="0"/>
        <charset val="1"/>
      </rPr>
      <t xml:space="preserve">Note </t>
    </r>
    <r>
      <rPr>
        <sz val="9"/>
        <rFont val="Noto Sans CJK SC"/>
        <family val="2"/>
      </rPr>
      <t xml:space="preserve">第 </t>
    </r>
    <r>
      <rPr>
        <sz val="9"/>
        <rFont val="Arial"/>
        <family val="0"/>
        <charset val="1"/>
      </rPr>
      <t xml:space="preserve">36~37 </t>
    </r>
    <r>
      <rPr>
        <sz val="9"/>
        <rFont val="Noto Sans CJK SC"/>
        <family val="2"/>
      </rPr>
      <t xml:space="preserve">列已載明：「</t>
    </r>
    <r>
      <rPr>
        <sz val="9"/>
        <rFont val="Arial"/>
        <family val="0"/>
        <charset val="1"/>
      </rPr>
      <t xml:space="preserve">26Q3 </t>
    </r>
    <r>
      <rPr>
        <sz val="9"/>
        <rFont val="Noto Sans CJK SC"/>
        <family val="2"/>
      </rPr>
      <t xml:space="preserve">售價漲幅 </t>
    </r>
    <r>
      <rPr>
        <sz val="9"/>
        <rFont val="Arial"/>
        <family val="0"/>
        <charset val="1"/>
      </rPr>
      <t xml:space="preserve">15% </t>
    </r>
    <r>
      <rPr>
        <sz val="9"/>
        <rFont val="Noto Sans CJK SC"/>
        <family val="2"/>
      </rPr>
      <t xml:space="preserve">是由 </t>
    </r>
    <r>
      <rPr>
        <sz val="9"/>
        <rFont val="Arial"/>
        <family val="0"/>
        <charset val="1"/>
      </rPr>
      <t xml:space="preserve">Rev QoQ +25% guidance </t>
    </r>
    <r>
      <rPr>
        <sz val="9"/>
        <rFont val="Noto Sans CJK SC"/>
        <family val="2"/>
      </rPr>
      <t xml:space="preserve">反解，混合 </t>
    </r>
    <r>
      <rPr>
        <sz val="9"/>
        <rFont val="Arial"/>
        <family val="0"/>
        <charset val="1"/>
      </rPr>
      <t xml:space="preserve">ASP +24.6% </t>
    </r>
    <r>
      <rPr>
        <sz val="9"/>
        <rFont val="Noto Sans CJK SC"/>
        <family val="2"/>
      </rPr>
      <t xml:space="preserve">中純售價 </t>
    </r>
    <r>
      <rPr>
        <sz val="9"/>
        <rFont val="Arial"/>
        <family val="0"/>
        <charset val="1"/>
      </rPr>
      <t xml:space="preserve">15%</t>
    </r>
    <r>
      <rPr>
        <sz val="9"/>
        <rFont val="Noto Sans CJK SC"/>
        <family val="2"/>
      </rPr>
      <t xml:space="preserve">、其餘為 </t>
    </r>
    <r>
      <rPr>
        <sz val="9"/>
        <rFont val="Arial"/>
        <family val="0"/>
        <charset val="1"/>
      </rPr>
      <t xml:space="preserve">mix</t>
    </r>
    <r>
      <rPr>
        <sz val="9"/>
        <rFont val="Noto Sans CJK SC"/>
        <family val="2"/>
      </rPr>
      <t xml:space="preserve">」。組合升級已包在營收 </t>
    </r>
    <r>
      <rPr>
        <sz val="9"/>
        <rFont val="Arial"/>
        <family val="0"/>
        <charset val="1"/>
      </rPr>
      <t xml:space="preserve">guidance </t>
    </r>
    <r>
      <rPr>
        <sz val="9"/>
        <rFont val="Noto Sans CJK SC"/>
        <family val="2"/>
      </rPr>
      <t xml:space="preserve">內，若加 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而不同步下修售價即為重複計算。本版鎖住營收錨點（＝</t>
    </r>
    <r>
      <rPr>
        <sz val="9"/>
        <rFont val="Arial"/>
        <family val="0"/>
        <charset val="1"/>
      </rPr>
      <t xml:space="preserve">v30</t>
    </r>
    <r>
      <rPr>
        <sz val="9"/>
        <rFont val="Noto Sans CJK SC"/>
        <family val="2"/>
      </rPr>
      <t xml:space="preserve">／公司 </t>
    </r>
    <r>
      <rPr>
        <sz val="9"/>
        <rFont val="Arial"/>
        <family val="0"/>
        <charset val="1"/>
      </rPr>
      <t xml:space="preserve">guidance</t>
    </r>
    <r>
      <rPr>
        <sz val="9"/>
        <rFont val="Noto Sans CJK SC"/>
        <family val="2"/>
      </rPr>
      <t xml:space="preserve">），讓 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只改毛利率與 </t>
    </r>
    <r>
      <rPr>
        <sz val="9"/>
        <rFont val="Arial"/>
        <family val="0"/>
        <charset val="1"/>
      </rPr>
      <t xml:space="preserve">ASP </t>
    </r>
    <r>
      <rPr>
        <sz val="9"/>
        <rFont val="Noto Sans CJK SC"/>
        <family val="2"/>
      </rPr>
      <t xml:space="preserve">組成。</t>
    </r>
  </si>
  <si>
    <r>
      <rPr>
        <b val="true"/>
        <sz val="10"/>
        <color rgb="FFFFFFFF"/>
        <rFont val="Noto Sans CJK SC"/>
        <family val="2"/>
      </rPr>
      <t xml:space="preserve">二、★ 已揭露的內部矛盾（</t>
    </r>
    <r>
      <rPr>
        <b val="true"/>
        <sz val="10"/>
        <color rgb="FFFFFFFF"/>
        <rFont val="Arial"/>
        <family val="0"/>
        <charset val="1"/>
      </rPr>
      <t xml:space="preserve">Wallace 20260818 </t>
    </r>
    <r>
      <rPr>
        <b val="true"/>
        <sz val="10"/>
        <color rgb="FFFFFFFF"/>
        <rFont val="Noto Sans CJK SC"/>
        <family val="2"/>
      </rPr>
      <t xml:space="preserve">裁示接受）</t>
    </r>
  </si>
  <si>
    <r>
      <rPr>
        <sz val="9"/>
        <color rgb="FFC00000"/>
        <rFont val="Noto Sans CJK SC"/>
        <family val="2"/>
      </rPr>
      <t xml:space="preserve">三個錨點無法同時滿足：</t>
    </r>
    <r>
      <rPr>
        <sz val="9"/>
        <color rgb="FFC00000"/>
        <rFont val="Arial"/>
        <family val="0"/>
        <charset val="1"/>
      </rPr>
      <t xml:space="preserve">(a) </t>
    </r>
    <r>
      <rPr>
        <sz val="9"/>
        <color rgb="FFC00000"/>
        <rFont val="Noto Sans CJK SC"/>
        <family val="2"/>
      </rPr>
      <t xml:space="preserve">營收貼公司 </t>
    </r>
    <r>
      <rPr>
        <sz val="9"/>
        <color rgb="FFC00000"/>
        <rFont val="Arial"/>
        <family val="0"/>
        <charset val="1"/>
      </rPr>
      <t xml:space="preserve">guidance</t>
    </r>
    <r>
      <rPr>
        <sz val="9"/>
        <color rgb="FFC00000"/>
        <rFont val="Noto Sans CJK SC"/>
        <family val="2"/>
      </rPr>
      <t xml:space="preserve">　</t>
    </r>
    <r>
      <rPr>
        <sz val="9"/>
        <color rgb="FFC00000"/>
        <rFont val="Arial"/>
        <family val="0"/>
        <charset val="1"/>
      </rPr>
      <t xml:space="preserve">(b) M9 </t>
    </r>
    <r>
      <rPr>
        <sz val="9"/>
        <color rgb="FFC00000"/>
        <rFont val="Noto Sans CJK SC"/>
        <family val="2"/>
      </rPr>
      <t xml:space="preserve">量佔比 </t>
    </r>
    <r>
      <rPr>
        <sz val="9"/>
        <color rgb="FFC00000"/>
        <rFont val="Arial"/>
        <family val="0"/>
        <charset val="1"/>
      </rPr>
      <t xml:space="preserve">2% × </t>
    </r>
    <r>
      <rPr>
        <sz val="9"/>
        <color rgb="FFC00000"/>
        <rFont val="Noto Sans CJK SC"/>
        <family val="2"/>
      </rPr>
      <t xml:space="preserve">指數 </t>
    </r>
    <r>
      <rPr>
        <sz val="9"/>
        <color rgb="FFC00000"/>
        <rFont val="Arial"/>
        <family val="0"/>
        <charset val="1"/>
      </rPr>
      <t xml:space="preserve">8.0</t>
    </r>
    <r>
      <rPr>
        <sz val="9"/>
        <color rgb="FFC00000"/>
        <rFont val="Noto Sans CJK SC"/>
        <family val="2"/>
      </rPr>
      <t xml:space="preserve">　</t>
    </r>
    <r>
      <rPr>
        <sz val="9"/>
        <color rgb="FFC00000"/>
        <rFont val="Arial"/>
        <family val="0"/>
        <charset val="1"/>
      </rPr>
      <t xml:space="preserve">(c) 0813</t>
    </r>
    <r>
      <rPr>
        <sz val="9"/>
        <color rgb="FFC00000"/>
        <rFont val="Noto Sans CJK SC"/>
        <family val="2"/>
      </rPr>
      <t xml:space="preserve">「</t>
    </r>
    <r>
      <rPr>
        <sz val="9"/>
        <color rgb="FFC00000"/>
        <rFont val="Arial"/>
        <family val="0"/>
        <charset val="1"/>
      </rPr>
      <t xml:space="preserve">E-glass </t>
    </r>
    <r>
      <rPr>
        <sz val="9"/>
        <color rgb="FFC00000"/>
        <rFont val="Noto Sans CJK SC"/>
        <family val="2"/>
      </rPr>
      <t xml:space="preserve">緩解後價格不回落」。</t>
    </r>
  </si>
  <si>
    <r>
      <rPr>
        <sz val="9"/>
        <color rgb="FF000000"/>
        <rFont val="Noto Sans CJK SC"/>
        <family val="2"/>
      </rPr>
      <t xml:space="preserve">本版選擇保留 </t>
    </r>
    <r>
      <rPr>
        <sz val="9"/>
        <color rgb="FF000000"/>
        <rFont val="Arial"/>
        <family val="0"/>
        <charset val="1"/>
      </rPr>
      <t xml:space="preserve">(a)(b)</t>
    </r>
    <r>
      <rPr>
        <sz val="9"/>
        <color rgb="FF000000"/>
        <rFont val="Noto Sans CJK SC"/>
        <family val="2"/>
      </rPr>
      <t xml:space="preserve">，犧牲 </t>
    </r>
    <r>
      <rPr>
        <sz val="9"/>
        <color rgb="FF000000"/>
        <rFont val="Arial"/>
        <family val="0"/>
        <charset val="1"/>
      </rPr>
      <t xml:space="preserve">(c)</t>
    </r>
    <r>
      <rPr>
        <sz val="9"/>
        <color rgb="FF000000"/>
        <rFont val="Noto Sans CJK SC"/>
        <family val="2"/>
      </rPr>
      <t xml:space="preserve">：模型隱含的「純售價」在 </t>
    </r>
    <r>
      <rPr>
        <sz val="9"/>
        <color rgb="FF000000"/>
        <rFont val="Arial"/>
        <family val="0"/>
        <charset val="1"/>
      </rPr>
      <t xml:space="preserve">2H27 </t>
    </r>
    <r>
      <rPr>
        <sz val="9"/>
        <color rgb="FF000000"/>
        <rFont val="Noto Sans CJK SC"/>
        <family val="2"/>
      </rPr>
      <t xml:space="preserve">為 </t>
    </r>
    <r>
      <rPr>
        <sz val="9"/>
        <color rgb="FF000000"/>
        <rFont val="Arial"/>
        <family val="0"/>
        <charset val="1"/>
      </rPr>
      <t xml:space="preserve">27Q2 −1.5%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Arial"/>
        <family val="0"/>
        <charset val="1"/>
      </rPr>
      <t xml:space="preserve">27Q3 −4.1%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Arial"/>
        <family val="0"/>
        <charset val="1"/>
      </rPr>
      <t xml:space="preserve">27Q4 −5.3%</t>
    </r>
    <r>
      <rPr>
        <sz val="9"/>
        <color rgb="FF000000"/>
        <rFont val="Noto Sans CJK SC"/>
        <family val="2"/>
      </rPr>
      <t xml:space="preserve">，</t>
    </r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亦為小幅負值。</t>
    </r>
  </si>
  <si>
    <r>
      <rPr>
        <sz val="9"/>
        <color rgb="FF000000"/>
        <rFont val="Noto Sans CJK SC"/>
        <family val="2"/>
      </rPr>
      <t xml:space="preserve">若改採 </t>
    </r>
    <r>
      <rPr>
        <sz val="9"/>
        <color rgb="FF000000"/>
        <rFont val="Arial"/>
        <family val="0"/>
        <charset val="1"/>
      </rPr>
      <t xml:space="preserve">(c) </t>
    </r>
    <r>
      <rPr>
        <sz val="9"/>
        <color rgb="FF000000"/>
        <rFont val="Noto Sans CJK SC"/>
        <family val="2"/>
      </rPr>
      <t xml:space="preserve">而放開營收，</t>
    </r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營收將達 </t>
    </r>
    <r>
      <rPr>
        <sz val="9"/>
        <color rgb="FF000000"/>
        <rFont val="Arial"/>
        <family val="0"/>
        <charset val="1"/>
      </rPr>
      <t xml:space="preserve">1,236 </t>
    </r>
    <r>
      <rPr>
        <sz val="9"/>
        <color rgb="FF000000"/>
        <rFont val="Noto Sans CJK SC"/>
        <family val="2"/>
      </rPr>
      <t xml:space="preserve">億（</t>
    </r>
    <r>
      <rPr>
        <sz val="9"/>
        <color rgb="FF000000"/>
        <rFont val="Arial"/>
        <family val="0"/>
        <charset val="1"/>
      </rPr>
      <t xml:space="preserve">YoY +129%</t>
    </r>
    <r>
      <rPr>
        <sz val="9"/>
        <color rgb="FF000000"/>
        <rFont val="Noto Sans CJK SC"/>
        <family val="2"/>
      </rPr>
      <t xml:space="preserve">）、</t>
    </r>
    <r>
      <rPr>
        <sz val="9"/>
        <color rgb="FF000000"/>
        <rFont val="Arial"/>
        <family val="0"/>
        <charset val="1"/>
      </rPr>
      <t xml:space="preserve">EPS 69.79</t>
    </r>
    <r>
      <rPr>
        <sz val="9"/>
        <color rgb="FF000000"/>
        <rFont val="Noto Sans CJK SC"/>
        <family val="2"/>
      </rPr>
      <t xml:space="preserve">，遠超公司「至少三四十的 </t>
    </r>
    <r>
      <rPr>
        <sz val="9"/>
        <color rgb="FF000000"/>
        <rFont val="Arial"/>
        <family val="0"/>
        <charset val="1"/>
      </rPr>
      <t xml:space="preserve">YoY </t>
    </r>
    <r>
      <rPr>
        <sz val="9"/>
        <color rgb="FF000000"/>
        <rFont val="Noto Sans CJK SC"/>
        <family val="2"/>
      </rPr>
      <t xml:space="preserve">成長」指引，故不採為主案。</t>
    </r>
  </si>
  <si>
    <r>
      <rPr>
        <sz val="9"/>
        <color rgb="FF000000"/>
        <rFont val="Noto Sans CJK SC"/>
        <family val="2"/>
      </rPr>
      <t xml:space="preserve">→ 追蹤點：若 </t>
    </r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實際售價確實未回落而營收超標，代表 </t>
    </r>
    <r>
      <rPr>
        <sz val="9"/>
        <color rgb="FF000000"/>
        <rFont val="Arial"/>
        <family val="0"/>
        <charset val="1"/>
      </rPr>
      <t xml:space="preserve">M9 </t>
    </r>
    <r>
      <rPr>
        <sz val="9"/>
        <color rgb="FF000000"/>
        <rFont val="Noto Sans CJK SC"/>
        <family val="2"/>
      </rPr>
      <t xml:space="preserve">貢獻被低估，須上修；反之若售價回落，本版路徑即被驗證。</t>
    </r>
  </si>
  <si>
    <r>
      <rPr>
        <b val="true"/>
        <sz val="10"/>
        <color rgb="FFFFFFFF"/>
        <rFont val="Noto Sans CJK SC"/>
        <family val="2"/>
      </rPr>
      <t xml:space="preserve">三、分流比與單耗：為什麼沒有改成 </t>
    </r>
    <r>
      <rPr>
        <b val="true"/>
        <sz val="10"/>
        <color rgb="FFFFFFFF"/>
        <rFont val="Arial"/>
        <family val="0"/>
        <charset val="1"/>
      </rPr>
      <t xml:space="preserve">70%</t>
    </r>
  </si>
  <si>
    <r>
      <rPr>
        <sz val="9"/>
        <rFont val="Noto Sans CJK SC"/>
        <family val="2"/>
      </rPr>
      <t xml:space="preserve">公司說「</t>
    </r>
    <r>
      <rPr>
        <sz val="9"/>
        <rFont val="Arial"/>
        <family val="0"/>
        <charset val="1"/>
      </rPr>
      <t xml:space="preserve">CCL </t>
    </r>
    <r>
      <rPr>
        <sz val="9"/>
        <rFont val="Noto Sans CJK SC"/>
        <family val="2"/>
      </rPr>
      <t xml:space="preserve">約占營收 </t>
    </r>
    <r>
      <rPr>
        <sz val="9"/>
        <rFont val="Arial"/>
        <family val="0"/>
        <charset val="1"/>
      </rPr>
      <t xml:space="preserve">7 </t>
    </r>
    <r>
      <rPr>
        <sz val="9"/>
        <rFont val="Noto Sans CJK SC"/>
        <family val="2"/>
      </rPr>
      <t xml:space="preserve">成、</t>
    </r>
    <r>
      <rPr>
        <sz val="9"/>
        <rFont val="Arial"/>
        <family val="0"/>
        <charset val="1"/>
      </rPr>
      <t xml:space="preserve">PP </t>
    </r>
    <r>
      <rPr>
        <sz val="9"/>
        <rFont val="Noto Sans CJK SC"/>
        <family val="2"/>
      </rPr>
      <t xml:space="preserve">約 </t>
    </r>
    <r>
      <rPr>
        <sz val="9"/>
        <rFont val="Arial"/>
        <family val="0"/>
        <charset val="1"/>
      </rPr>
      <t xml:space="preserve">3 </t>
    </r>
    <r>
      <rPr>
        <sz val="9"/>
        <rFont val="Noto Sans CJK SC"/>
        <family val="2"/>
      </rPr>
      <t xml:space="preserve">成」是【營收口徑】；模型的分流比 </t>
    </r>
    <r>
      <rPr>
        <sz val="9"/>
        <rFont val="Arial"/>
        <family val="0"/>
        <charset val="1"/>
      </rPr>
      <t xml:space="preserve">57.1% </t>
    </r>
    <r>
      <rPr>
        <sz val="9"/>
        <rFont val="Noto Sans CJK SC"/>
        <family val="2"/>
      </rPr>
      <t xml:space="preserve">是【面積／張數口徑】（海關單批 </t>
    </r>
    <r>
      <rPr>
        <sz val="9"/>
        <rFont val="Arial"/>
        <family val="0"/>
        <charset val="1"/>
      </rPr>
      <t xml:space="preserve">700 </t>
    </r>
    <r>
      <rPr>
        <sz val="9"/>
        <rFont val="Noto Sans CJK SC"/>
        <family val="2"/>
      </rPr>
      <t xml:space="preserve">張：</t>
    </r>
    <r>
      <rPr>
        <sz val="9"/>
        <rFont val="Arial"/>
        <family val="0"/>
        <charset val="1"/>
      </rPr>
      <t xml:space="preserve">PP 300 </t>
    </r>
    <r>
      <rPr>
        <sz val="9"/>
        <rFont val="Noto Sans CJK SC"/>
        <family val="2"/>
      </rPr>
      <t xml:space="preserve">張</t>
    </r>
    <r>
      <rPr>
        <sz val="9"/>
        <rFont val="Arial"/>
        <family val="0"/>
        <charset val="1"/>
      </rPr>
      <t xml:space="preserve">/99.28</t>
    </r>
    <r>
      <rPr>
        <sz val="9"/>
        <rFont val="Noto Sans CJK SC"/>
        <family val="2"/>
      </rPr>
      <t xml:space="preserve">㎡ </t>
    </r>
    <r>
      <rPr>
        <sz val="9"/>
        <rFont val="Arial"/>
        <family val="0"/>
        <charset val="1"/>
      </rPr>
      <t xml:space="preserve">vs CCL 400 </t>
    </r>
    <r>
      <rPr>
        <sz val="9"/>
        <rFont val="Noto Sans CJK SC"/>
        <family val="2"/>
      </rPr>
      <t xml:space="preserve">張</t>
    </r>
    <r>
      <rPr>
        <sz val="9"/>
        <rFont val="Arial"/>
        <family val="0"/>
        <charset val="1"/>
      </rPr>
      <t xml:space="preserve">/132.38</t>
    </r>
    <r>
      <rPr>
        <sz val="9"/>
        <rFont val="Noto Sans CJK SC"/>
        <family val="2"/>
      </rPr>
      <t xml:space="preserve">㎡）。</t>
    </r>
  </si>
  <si>
    <r>
      <rPr>
        <sz val="9"/>
        <rFont val="Arial"/>
        <family val="0"/>
        <charset val="1"/>
      </rPr>
      <t xml:space="preserve">CCL</t>
    </r>
    <r>
      <rPr>
        <sz val="9"/>
        <rFont val="Noto Sans CJK SC"/>
        <family val="2"/>
      </rPr>
      <t xml:space="preserve">＝</t>
    </r>
    <r>
      <rPr>
        <sz val="9"/>
        <rFont val="Arial"/>
        <family val="0"/>
        <charset val="1"/>
      </rPr>
      <t xml:space="preserve">PP</t>
    </r>
    <r>
      <rPr>
        <sz val="9"/>
        <rFont val="Noto Sans CJK SC"/>
        <family val="2"/>
      </rPr>
      <t xml:space="preserve">＋兩面銅箔＋壓合，單位面積售價高於 </t>
    </r>
    <r>
      <rPr>
        <sz val="9"/>
        <rFont val="Arial"/>
        <family val="0"/>
        <charset val="1"/>
      </rPr>
      <t xml:space="preserve">PP</t>
    </r>
    <r>
      <rPr>
        <sz val="9"/>
        <rFont val="Noto Sans CJK SC"/>
        <family val="2"/>
      </rPr>
      <t xml:space="preserve">。設倍數 </t>
    </r>
    <r>
      <rPr>
        <sz val="9"/>
        <rFont val="Arial"/>
        <family val="0"/>
        <charset val="1"/>
      </rPr>
      <t xml:space="preserve">k</t>
    </r>
    <r>
      <rPr>
        <sz val="9"/>
        <rFont val="Noto Sans CJK SC"/>
        <family val="2"/>
      </rPr>
      <t xml:space="preserve">：</t>
    </r>
    <r>
      <rPr>
        <sz val="9"/>
        <rFont val="Arial"/>
        <family val="0"/>
        <charset val="1"/>
      </rPr>
      <t xml:space="preserve">CCL </t>
    </r>
    <r>
      <rPr>
        <sz val="9"/>
        <rFont val="Noto Sans CJK SC"/>
        <family val="2"/>
      </rPr>
      <t xml:space="preserve">營收佔比 ＝ </t>
    </r>
    <r>
      <rPr>
        <sz val="9"/>
        <rFont val="Arial"/>
        <family val="0"/>
        <charset val="1"/>
      </rPr>
      <t xml:space="preserve">0.571k/(0.571k+0.429) </t>
    </r>
    <r>
      <rPr>
        <sz val="9"/>
        <rFont val="Noto Sans CJK SC"/>
        <family val="2"/>
      </rPr>
      <t xml:space="preserve">＝ </t>
    </r>
    <r>
      <rPr>
        <sz val="9"/>
        <rFont val="Arial"/>
        <family val="0"/>
        <charset val="1"/>
      </rPr>
      <t xml:space="preserve">70% → k </t>
    </r>
    <r>
      <rPr>
        <sz val="9"/>
        <rFont val="Noto Sans CJK SC"/>
        <family val="2"/>
      </rPr>
      <t xml:space="preserve">＝ </t>
    </r>
    <r>
      <rPr>
        <sz val="9"/>
        <rFont val="Arial"/>
        <family val="0"/>
        <charset val="1"/>
      </rPr>
      <t xml:space="preserve">1.75</t>
    </r>
    <r>
      <rPr>
        <sz val="9"/>
        <rFont val="Noto Sans CJK SC"/>
        <family val="2"/>
      </rPr>
      <t xml:space="preserve">。銅箔佔 </t>
    </r>
    <r>
      <rPr>
        <sz val="9"/>
        <rFont val="Arial"/>
        <family val="0"/>
        <charset val="1"/>
      </rPr>
      <t xml:space="preserve">CCL </t>
    </r>
    <r>
      <rPr>
        <sz val="9"/>
        <rFont val="Noto Sans CJK SC"/>
        <family val="2"/>
      </rPr>
      <t xml:space="preserve">材料成本 </t>
    </r>
    <r>
      <rPr>
        <sz val="9"/>
        <rFont val="Arial"/>
        <family val="0"/>
        <charset val="1"/>
      </rPr>
      <t xml:space="preserve">40%</t>
    </r>
    <r>
      <rPr>
        <sz val="9"/>
        <rFont val="Noto Sans CJK SC"/>
        <family val="2"/>
      </rPr>
      <t xml:space="preserve">，</t>
    </r>
    <r>
      <rPr>
        <sz val="9"/>
        <rFont val="Arial"/>
        <family val="0"/>
        <charset val="1"/>
      </rPr>
      <t xml:space="preserve">1.75 </t>
    </r>
    <r>
      <rPr>
        <sz val="9"/>
        <rFont val="Noto Sans CJK SC"/>
        <family val="2"/>
      </rPr>
      <t xml:space="preserve">倍完全合理。</t>
    </r>
  </si>
  <si>
    <r>
      <rPr>
        <sz val="9"/>
        <rFont val="Noto Sans CJK SC"/>
        <family val="2"/>
      </rPr>
      <t xml:space="preserve">→ 兩個數字互相印證，不是矛盾。把分流比改成 </t>
    </r>
    <r>
      <rPr>
        <sz val="9"/>
        <rFont val="Arial"/>
        <family val="0"/>
        <charset val="1"/>
      </rPr>
      <t xml:space="preserve">70% </t>
    </r>
    <r>
      <rPr>
        <sz val="9"/>
        <rFont val="Noto Sans CJK SC"/>
        <family val="2"/>
      </rPr>
      <t xml:space="preserve">等於把價格效應重複計入數量方程式。</t>
    </r>
  </si>
  <si>
    <r>
      <rPr>
        <sz val="9"/>
        <rFont val="Noto Sans CJK SC"/>
        <family val="2"/>
      </rPr>
      <t xml:space="preserve">★ 更根本：</t>
    </r>
    <r>
      <rPr>
        <sz val="9"/>
        <rFont val="Arial"/>
        <family val="0"/>
        <charset val="1"/>
      </rPr>
      <t xml:space="preserve">M7 </t>
    </r>
    <r>
      <rPr>
        <sz val="9"/>
        <rFont val="Noto Sans CJK SC"/>
        <family val="2"/>
      </rPr>
      <t xml:space="preserve">張數 ＝ </t>
    </r>
    <r>
      <rPr>
        <sz val="9"/>
        <rFont val="Arial"/>
        <family val="0"/>
        <charset val="1"/>
      </rPr>
      <t xml:space="preserve">mPPO </t>
    </r>
    <r>
      <rPr>
        <sz val="9"/>
        <rFont val="Noto Sans CJK SC"/>
        <family val="2"/>
      </rPr>
      <t xml:space="preserve">噸 </t>
    </r>
    <r>
      <rPr>
        <sz val="9"/>
        <rFont val="Arial"/>
        <family val="0"/>
        <charset val="1"/>
      </rPr>
      <t xml:space="preserve">× r ÷ u</t>
    </r>
    <r>
      <rPr>
        <sz val="9"/>
        <rFont val="Noto Sans CJK SC"/>
        <family val="2"/>
      </rPr>
      <t xml:space="preserve">，只有比值 </t>
    </r>
    <r>
      <rPr>
        <sz val="9"/>
        <rFont val="Arial"/>
        <family val="0"/>
        <charset val="1"/>
      </rPr>
      <t xml:space="preserve">r/u </t>
    </r>
    <r>
      <rPr>
        <sz val="9"/>
        <rFont val="Noto Sans CJK SC"/>
        <family val="2"/>
      </rPr>
      <t xml:space="preserve">＝ </t>
    </r>
    <r>
      <rPr>
        <sz val="9"/>
        <rFont val="Arial"/>
        <family val="0"/>
        <charset val="1"/>
      </rPr>
      <t xml:space="preserve">3,037 </t>
    </r>
    <r>
      <rPr>
        <sz val="9"/>
        <rFont val="Noto Sans CJK SC"/>
        <family val="2"/>
      </rPr>
      <t xml:space="preserve">張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噸 被資料釘住，</t>
    </r>
    <r>
      <rPr>
        <sz val="9"/>
        <rFont val="Arial"/>
        <family val="0"/>
        <charset val="1"/>
      </rPr>
      <t xml:space="preserve">r </t>
    </r>
    <r>
      <rPr>
        <sz val="9"/>
        <rFont val="Noto Sans CJK SC"/>
        <family val="2"/>
      </rPr>
      <t xml:space="preserve">與 </t>
    </r>
    <r>
      <rPr>
        <sz val="9"/>
        <rFont val="Arial"/>
        <family val="0"/>
        <charset val="1"/>
      </rPr>
      <t xml:space="preserve">u </t>
    </r>
    <r>
      <rPr>
        <sz val="9"/>
        <rFont val="Noto Sans CJK SC"/>
        <family val="2"/>
      </rPr>
      <t xml:space="preserve">各自不可分辨（</t>
    </r>
    <r>
      <rPr>
        <sz val="9"/>
        <rFont val="Arial"/>
        <family val="0"/>
        <charset val="1"/>
      </rPr>
      <t xml:space="preserve">not separately identified</t>
    </r>
    <r>
      <rPr>
        <sz val="9"/>
        <rFont val="Noto Sans CJK SC"/>
        <family val="2"/>
      </rPr>
      <t xml:space="preserve">）。</t>
    </r>
  </si>
  <si>
    <r>
      <rPr>
        <sz val="9"/>
        <rFont val="Noto Sans CJK SC"/>
        <family val="2"/>
      </rPr>
      <t xml:space="preserve">   改 </t>
    </r>
    <r>
      <rPr>
        <sz val="9"/>
        <rFont val="Arial"/>
        <family val="0"/>
        <charset val="1"/>
      </rPr>
      <t xml:space="preserve">r</t>
    </r>
    <r>
      <rPr>
        <sz val="9"/>
        <rFont val="Noto Sans CJK SC"/>
        <family val="2"/>
      </rPr>
      <t xml:space="preserve">＝</t>
    </r>
    <r>
      <rPr>
        <sz val="9"/>
        <rFont val="Arial"/>
        <family val="0"/>
        <charset val="1"/>
      </rPr>
      <t xml:space="preserve">0.70 </t>
    </r>
    <r>
      <rPr>
        <sz val="9"/>
        <rFont val="Noto Sans CJK SC"/>
        <family val="2"/>
      </rPr>
      <t xml:space="preserve">就必須同步改 </t>
    </r>
    <r>
      <rPr>
        <sz val="9"/>
        <rFont val="Arial"/>
        <family val="0"/>
        <charset val="1"/>
      </rPr>
      <t xml:space="preserve">u</t>
    </r>
    <r>
      <rPr>
        <sz val="9"/>
        <rFont val="Noto Sans CJK SC"/>
        <family val="2"/>
      </rPr>
      <t xml:space="preserve">＝</t>
    </r>
    <r>
      <rPr>
        <sz val="9"/>
        <rFont val="Arial"/>
        <family val="0"/>
        <charset val="1"/>
      </rPr>
      <t xml:space="preserve">0.2305 </t>
    </r>
    <r>
      <rPr>
        <sz val="9"/>
        <rFont val="Noto Sans CJK SC"/>
        <family val="2"/>
      </rPr>
      <t xml:space="preserve">才能維持同樣張數，模型輸出一格不動。而 </t>
    </r>
    <r>
      <rPr>
        <sz val="9"/>
        <rFont val="Arial"/>
        <family val="0"/>
        <charset val="1"/>
      </rPr>
      <t xml:space="preserve">0.188 </t>
    </r>
    <r>
      <rPr>
        <sz val="9"/>
        <rFont val="Noto Sans CJK SC"/>
        <family val="2"/>
      </rPr>
      <t xml:space="preserve">本身也是反解值，非量測值。</t>
    </r>
  </si>
  <si>
    <r>
      <rPr>
        <sz val="9"/>
        <rFont val="Noto Sans CJK SC"/>
        <family val="2"/>
      </rPr>
      <t xml:space="preserve">→ 唯一能真正改善這一格的，是取得 </t>
    </r>
    <r>
      <rPr>
        <sz val="9"/>
        <rFont val="Arial"/>
        <family val="0"/>
        <charset val="1"/>
      </rPr>
      <t xml:space="preserve">r </t>
    </r>
    <r>
      <rPr>
        <sz val="9"/>
        <rFont val="Noto Sans CJK SC"/>
        <family val="2"/>
      </rPr>
      <t xml:space="preserve">或 </t>
    </r>
    <r>
      <rPr>
        <sz val="9"/>
        <rFont val="Arial"/>
        <family val="0"/>
        <charset val="1"/>
      </rPr>
      <t xml:space="preserve">u </t>
    </r>
    <r>
      <rPr>
        <sz val="9"/>
        <rFont val="Noto Sans CJK SC"/>
        <family val="2"/>
      </rPr>
      <t xml:space="preserve">之一的獨立一手數據：跟公司要「</t>
    </r>
    <r>
      <rPr>
        <sz val="9"/>
        <rFont val="Arial"/>
        <family val="0"/>
        <charset val="1"/>
      </rPr>
      <t xml:space="preserve">M7 </t>
    </r>
    <r>
      <rPr>
        <sz val="9"/>
        <rFont val="Noto Sans CJK SC"/>
        <family val="2"/>
      </rPr>
      <t xml:space="preserve">每月出貨張數的絕對值」（開放清單第 </t>
    </r>
    <r>
      <rPr>
        <sz val="9"/>
        <rFont val="Arial"/>
        <family val="0"/>
        <charset val="1"/>
      </rPr>
      <t xml:space="preserve">2 </t>
    </r>
    <r>
      <rPr>
        <sz val="9"/>
        <rFont val="Noto Sans CJK SC"/>
        <family val="2"/>
      </rPr>
      <t xml:space="preserve">項）。</t>
    </r>
  </si>
  <si>
    <t xml:space="preserve">四、級距價格指數與毛利率（藍字＝可調輸入）</t>
  </si>
  <si>
    <t xml:space="preserve">級距</t>
  </si>
  <si>
    <t xml:space="preserve">價格指數</t>
  </si>
  <si>
    <t xml:space="preserve">級距毛利率</t>
  </si>
  <si>
    <t xml:space="preserve">來源</t>
  </si>
  <si>
    <t xml:space="preserve">FR4/M2</t>
  </si>
  <si>
    <r>
      <rPr>
        <sz val="9"/>
        <rFont val="Noto Sans CJK SC"/>
        <family val="2"/>
      </rPr>
      <t xml:space="preserve">指數：</t>
    </r>
    <r>
      <rPr>
        <sz val="9"/>
        <rFont val="Arial"/>
        <family val="0"/>
        <charset val="1"/>
      </rPr>
      <t xml:space="preserve">Wallace </t>
    </r>
    <r>
      <rPr>
        <sz val="9"/>
        <rFont val="Noto Sans CJK SC"/>
        <family val="2"/>
      </rPr>
      <t xml:space="preserve">提供（板廠資料）｜毛利率：</t>
    </r>
    <r>
      <rPr>
        <sz val="9"/>
        <rFont val="Arial"/>
        <family val="0"/>
        <charset val="1"/>
      </rPr>
      <t xml:space="preserve">0815</t>
    </r>
    <r>
      <rPr>
        <sz val="9"/>
        <rFont val="Noto Sans CJK SC"/>
        <family val="2"/>
      </rPr>
      <t xml:space="preserve">「</t>
    </r>
    <r>
      <rPr>
        <sz val="9"/>
        <rFont val="Arial"/>
        <family val="0"/>
        <charset val="1"/>
      </rPr>
      <t xml:space="preserve">M4 </t>
    </r>
    <r>
      <rPr>
        <sz val="9"/>
        <rFont val="Noto Sans CJK SC"/>
        <family val="2"/>
      </rPr>
      <t xml:space="preserve">以下現在應有 </t>
    </r>
    <r>
      <rPr>
        <sz val="9"/>
        <rFont val="Arial"/>
        <family val="0"/>
        <charset val="1"/>
      </rPr>
      <t xml:space="preserve">25%</t>
    </r>
    <r>
      <rPr>
        <sz val="9"/>
        <rFont val="Noto Sans CJK SC"/>
        <family val="2"/>
      </rPr>
      <t xml:space="preserve">」</t>
    </r>
  </si>
  <si>
    <t xml:space="preserve">M4</t>
  </si>
  <si>
    <t xml:space="preserve">同上</t>
  </si>
  <si>
    <t xml:space="preserve">M6</t>
  </si>
  <si>
    <r>
      <rPr>
        <sz val="9"/>
        <rFont val="Noto Sans CJK SC"/>
        <family val="2"/>
      </rPr>
      <t xml:space="preserve">指數基準＝</t>
    </r>
    <r>
      <rPr>
        <sz val="9"/>
        <rFont val="Arial"/>
        <family val="0"/>
        <charset val="1"/>
      </rPr>
      <t xml:space="preserve">1.00</t>
    </r>
    <r>
      <rPr>
        <sz val="9"/>
        <rFont val="Noto Sans CJK SC"/>
        <family val="2"/>
      </rPr>
      <t xml:space="preserve">｜</t>
    </r>
    <r>
      <rPr>
        <sz val="9"/>
        <rFont val="Arial"/>
        <family val="0"/>
        <charset val="1"/>
      </rPr>
      <t xml:space="preserve">0813</t>
    </r>
    <r>
      <rPr>
        <sz val="9"/>
        <rFont val="Noto Sans CJK SC"/>
        <family val="2"/>
      </rPr>
      <t xml:space="preserve">「</t>
    </r>
    <r>
      <rPr>
        <sz val="9"/>
        <rFont val="Arial"/>
        <family val="0"/>
        <charset val="1"/>
      </rPr>
      <t xml:space="preserve">M6 </t>
    </r>
    <r>
      <rPr>
        <sz val="9"/>
        <rFont val="Noto Sans CJK SC"/>
        <family val="2"/>
      </rPr>
      <t xml:space="preserve">已由過往約 </t>
    </r>
    <r>
      <rPr>
        <sz val="9"/>
        <rFont val="Arial"/>
        <family val="0"/>
        <charset val="1"/>
      </rPr>
      <t xml:space="preserve">30% </t>
    </r>
    <r>
      <rPr>
        <sz val="9"/>
        <rFont val="Noto Sans CJK SC"/>
        <family val="2"/>
      </rPr>
      <t xml:space="preserve">提高至 </t>
    </r>
    <r>
      <rPr>
        <sz val="9"/>
        <rFont val="Arial"/>
        <family val="0"/>
        <charset val="1"/>
      </rPr>
      <t xml:space="preserve">35% </t>
    </r>
    <r>
      <rPr>
        <sz val="9"/>
        <rFont val="Noto Sans CJK SC"/>
        <family val="2"/>
      </rPr>
      <t xml:space="preserve">以上」</t>
    </r>
  </si>
  <si>
    <t xml:space="preserve">M7</t>
  </si>
  <si>
    <r>
      <rPr>
        <sz val="9"/>
        <rFont val="Arial"/>
        <family val="0"/>
        <charset val="1"/>
      </rPr>
      <t xml:space="preserve">0813</t>
    </r>
    <r>
      <rPr>
        <sz val="9"/>
        <rFont val="Noto Sans CJK SC"/>
        <family val="2"/>
      </rPr>
      <t xml:space="preserve">「</t>
    </r>
    <r>
      <rPr>
        <sz val="9"/>
        <rFont val="Arial"/>
        <family val="0"/>
        <charset val="1"/>
      </rPr>
      <t xml:space="preserve">M7 </t>
    </r>
    <r>
      <rPr>
        <sz val="9"/>
        <rFont val="Noto Sans CJK SC"/>
        <family val="2"/>
      </rPr>
      <t xml:space="preserve">由約 </t>
    </r>
    <r>
      <rPr>
        <sz val="9"/>
        <rFont val="Arial"/>
        <family val="0"/>
        <charset val="1"/>
      </rPr>
      <t xml:space="preserve">35% </t>
    </r>
    <r>
      <rPr>
        <sz val="9"/>
        <rFont val="Noto Sans CJK SC"/>
        <family val="2"/>
      </rPr>
      <t xml:space="preserve">提高至至少 </t>
    </r>
    <r>
      <rPr>
        <sz val="9"/>
        <rFont val="Arial"/>
        <family val="0"/>
        <charset val="1"/>
      </rPr>
      <t xml:space="preserve">40%</t>
    </r>
    <r>
      <rPr>
        <sz val="9"/>
        <rFont val="Noto Sans CJK SC"/>
        <family val="2"/>
      </rPr>
      <t xml:space="preserve">」</t>
    </r>
  </si>
  <si>
    <t xml:space="preserve">M8/M8U</t>
  </si>
  <si>
    <r>
      <rPr>
        <sz val="9"/>
        <rFont val="Arial"/>
        <family val="0"/>
        <charset val="1"/>
      </rPr>
      <t xml:space="preserve">★v31 </t>
    </r>
    <r>
      <rPr>
        <sz val="9"/>
        <rFont val="Noto Sans CJK SC"/>
        <family val="2"/>
      </rPr>
      <t xml:space="preserve">改用價格指數表 </t>
    </r>
    <r>
      <rPr>
        <sz val="9"/>
        <rFont val="Arial"/>
        <family val="0"/>
        <charset val="1"/>
      </rPr>
      <t xml:space="preserve">M8 </t>
    </r>
    <r>
      <rPr>
        <sz val="9"/>
        <rFont val="Noto Sans CJK SC"/>
        <family val="2"/>
      </rPr>
      <t xml:space="preserve">真值 </t>
    </r>
    <r>
      <rPr>
        <sz val="9"/>
        <rFont val="Arial"/>
        <family val="0"/>
        <charset val="1"/>
      </rPr>
      <t xml:space="preserve">3.00</t>
    </r>
    <r>
      <rPr>
        <sz val="9"/>
        <rFont val="Noto Sans CJK SC"/>
        <family val="2"/>
      </rPr>
      <t xml:space="preserve">（</t>
    </r>
    <r>
      <rPr>
        <sz val="9"/>
        <rFont val="Arial"/>
        <family val="0"/>
        <charset val="1"/>
      </rPr>
      <t xml:space="preserve">v30 </t>
    </r>
    <r>
      <rPr>
        <sz val="9"/>
        <rFont val="Noto Sans CJK SC"/>
        <family val="2"/>
      </rPr>
      <t xml:space="preserve">為併桶值 </t>
    </r>
    <r>
      <rPr>
        <sz val="9"/>
        <rFont val="Arial"/>
        <family val="0"/>
        <charset val="1"/>
      </rPr>
      <t xml:space="preserve">2.37</t>
    </r>
    <r>
      <rPr>
        <sz val="9"/>
        <rFont val="Noto Sans CJK SC"/>
        <family val="2"/>
      </rPr>
      <t xml:space="preserve">）</t>
    </r>
  </si>
  <si>
    <t xml:space="preserve">M9</t>
  </si>
  <si>
    <r>
      <rPr>
        <sz val="9"/>
        <rFont val="Arial"/>
        <family val="0"/>
        <charset val="1"/>
      </rPr>
      <t xml:space="preserve">★v31 </t>
    </r>
    <r>
      <rPr>
        <sz val="9"/>
        <rFont val="Noto Sans CJK SC"/>
        <family val="2"/>
      </rPr>
      <t xml:space="preserve">新增獨立線。指數 </t>
    </r>
    <r>
      <rPr>
        <sz val="9"/>
        <rFont val="Arial"/>
        <family val="0"/>
        <charset val="1"/>
      </rPr>
      <t xml:space="preserve">8.00 </t>
    </r>
    <r>
      <rPr>
        <sz val="9"/>
        <rFont val="Noto Sans CJK SC"/>
        <family val="2"/>
      </rPr>
      <t xml:space="preserve">為 </t>
    </r>
    <r>
      <rPr>
        <sz val="9"/>
        <rFont val="Arial"/>
        <family val="0"/>
        <charset val="1"/>
      </rPr>
      <t xml:space="preserve">Wallace </t>
    </r>
    <r>
      <rPr>
        <sz val="9"/>
        <rFont val="Noto Sans CJK SC"/>
        <family val="2"/>
      </rPr>
      <t xml:space="preserve">裁示（板廠表列 </t>
    </r>
    <r>
      <rPr>
        <sz val="9"/>
        <rFont val="Arial"/>
        <family val="0"/>
        <charset val="1"/>
      </rPr>
      <t xml:space="preserve">17.00</t>
    </r>
    <r>
      <rPr>
        <sz val="9"/>
        <rFont val="Noto Sans CJK SC"/>
        <family val="2"/>
      </rPr>
      <t xml:space="preserve">，本版取保守值）｜</t>
    </r>
    <r>
      <rPr>
        <sz val="9"/>
        <rFont val="Arial"/>
        <family val="0"/>
        <charset val="1"/>
      </rPr>
      <t xml:space="preserve">0815</t>
    </r>
    <r>
      <rPr>
        <sz val="9"/>
        <rFont val="Noto Sans CJK SC"/>
        <family val="2"/>
      </rPr>
      <t xml:space="preserve">「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至少 </t>
    </r>
    <r>
      <rPr>
        <sz val="9"/>
        <rFont val="Arial"/>
        <family val="0"/>
        <charset val="1"/>
      </rPr>
      <t xml:space="preserve">50% </t>
    </r>
    <r>
      <rPr>
        <sz val="9"/>
        <rFont val="Noto Sans CJK SC"/>
        <family val="2"/>
      </rPr>
      <t xml:space="preserve">起跳」</t>
    </r>
  </si>
  <si>
    <r>
      <rPr>
        <sz val="10"/>
        <rFont val="Arial"/>
        <family val="0"/>
        <charset val="1"/>
      </rPr>
      <t xml:space="preserve">M8/M8U </t>
    </r>
    <r>
      <rPr>
        <sz val="10"/>
        <rFont val="Noto Sans CJK SC"/>
        <family val="2"/>
      </rPr>
      <t xml:space="preserve">量佔比係數（相對 </t>
    </r>
    <r>
      <rPr>
        <sz val="10"/>
        <rFont val="Arial"/>
        <family val="0"/>
        <charset val="1"/>
      </rPr>
      <t xml:space="preserve">M7</t>
    </r>
    <r>
      <rPr>
        <sz val="10"/>
        <rFont val="Noto Sans CJK SC"/>
        <family val="2"/>
      </rPr>
      <t xml:space="preserve">）</t>
    </r>
  </si>
  <si>
    <r>
      <rPr>
        <sz val="9"/>
        <rFont val="Arial"/>
        <family val="0"/>
        <charset val="1"/>
      </rPr>
      <t xml:space="preserve">v30 </t>
    </r>
    <r>
      <rPr>
        <sz val="9"/>
        <rFont val="Noto Sans CJK SC"/>
        <family val="2"/>
      </rPr>
      <t xml:space="preserve">為 </t>
    </r>
    <r>
      <rPr>
        <sz val="9"/>
        <rFont val="Arial"/>
        <family val="0"/>
        <charset val="1"/>
      </rPr>
      <t xml:space="preserve">0.20</t>
    </r>
    <r>
      <rPr>
        <sz val="9"/>
        <rFont val="Noto Sans CJK SC"/>
        <family val="2"/>
      </rPr>
      <t xml:space="preserve">（含 </t>
    </r>
    <r>
      <rPr>
        <sz val="9"/>
        <rFont val="Arial"/>
        <family val="0"/>
        <charset val="1"/>
      </rPr>
      <t xml:space="preserve">M9</t>
    </r>
    <r>
      <rPr>
        <sz val="9"/>
        <rFont val="Noto Sans CJK SC"/>
        <family val="2"/>
      </rPr>
      <t xml:space="preserve">）；</t>
    </r>
    <r>
      <rPr>
        <sz val="9"/>
        <rFont val="Arial"/>
        <family val="0"/>
        <charset val="1"/>
      </rPr>
      <t xml:space="preserve">M9 </t>
    </r>
    <r>
      <rPr>
        <sz val="9"/>
        <rFont val="Noto Sans CJK SC"/>
        <family val="2"/>
      </rPr>
      <t xml:space="preserve">抽出後降至 </t>
    </r>
    <r>
      <rPr>
        <sz val="9"/>
        <rFont val="Arial"/>
        <family val="0"/>
        <charset val="1"/>
      </rPr>
      <t xml:space="preserve">0.12</t>
    </r>
    <r>
      <rPr>
        <sz val="9"/>
        <rFont val="Noto Sans CJK SC"/>
        <family val="2"/>
      </rPr>
      <t xml:space="preserve">｜</t>
    </r>
    <r>
      <rPr>
        <sz val="9"/>
        <rFont val="Arial"/>
        <family val="0"/>
        <charset val="1"/>
      </rPr>
      <t xml:space="preserve">Wallace 20260818 </t>
    </r>
    <r>
      <rPr>
        <sz val="9"/>
        <rFont val="Noto Sans CJK SC"/>
        <family val="2"/>
      </rPr>
      <t xml:space="preserve">確認</t>
    </r>
  </si>
  <si>
    <r>
      <rPr>
        <sz val="10"/>
        <rFont val="Arial"/>
        <family val="0"/>
        <charset val="1"/>
      </rPr>
      <t xml:space="preserve">mPPO CCL </t>
    </r>
    <r>
      <rPr>
        <sz val="10"/>
        <rFont val="Noto Sans CJK SC"/>
        <family val="2"/>
      </rPr>
      <t xml:space="preserve">分流比 </t>
    </r>
    <r>
      <rPr>
        <sz val="10"/>
        <rFont val="Arial"/>
        <family val="0"/>
        <charset val="1"/>
      </rPr>
      <t xml:space="preserve">r</t>
    </r>
  </si>
  <si>
    <r>
      <rPr>
        <sz val="9"/>
        <rFont val="Noto Sans CJK SC"/>
        <family val="2"/>
      </rPr>
      <t xml:space="preserve">⚠️ 與 </t>
    </r>
    <r>
      <rPr>
        <sz val="9"/>
        <rFont val="Arial"/>
        <family val="0"/>
        <charset val="1"/>
      </rPr>
      <t xml:space="preserve">u </t>
    </r>
    <r>
      <rPr>
        <sz val="9"/>
        <rFont val="Noto Sans CJK SC"/>
        <family val="2"/>
      </rPr>
      <t xml:space="preserve">不可分辨，只有 </t>
    </r>
    <r>
      <rPr>
        <sz val="9"/>
        <rFont val="Arial"/>
        <family val="0"/>
        <charset val="1"/>
      </rPr>
      <t xml:space="preserve">r/u </t>
    </r>
    <r>
      <rPr>
        <sz val="9"/>
        <rFont val="Noto Sans CJK SC"/>
        <family val="2"/>
      </rPr>
      <t xml:space="preserve">有意義。見第三節。</t>
    </r>
  </si>
  <si>
    <r>
      <rPr>
        <sz val="10"/>
        <rFont val="Noto Sans CJK SC"/>
        <family val="2"/>
      </rPr>
      <t xml:space="preserve">每張 </t>
    </r>
    <r>
      <rPr>
        <sz val="10"/>
        <rFont val="Arial"/>
        <family val="0"/>
        <charset val="1"/>
      </rPr>
      <t xml:space="preserve">M7 CCL </t>
    </r>
    <r>
      <rPr>
        <sz val="10"/>
        <rFont val="Noto Sans CJK SC"/>
        <family val="2"/>
      </rPr>
      <t xml:space="preserve">耗用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kg</t>
    </r>
    <r>
      <rPr>
        <sz val="10"/>
        <rFont val="Noto Sans CJK SC"/>
        <family val="2"/>
      </rPr>
      <t xml:space="preserve">）</t>
    </r>
  </si>
  <si>
    <r>
      <rPr>
        <sz val="9"/>
        <rFont val="Noto Sans CJK SC"/>
        <family val="2"/>
      </rPr>
      <t xml:space="preserve">反解值：由「</t>
    </r>
    <r>
      <rPr>
        <sz val="9"/>
        <rFont val="Arial"/>
        <family val="0"/>
        <charset val="1"/>
      </rPr>
      <t xml:space="preserve">M6</t>
    </r>
    <r>
      <rPr>
        <sz val="9"/>
        <rFont val="Noto Sans CJK SC"/>
        <family val="2"/>
      </rPr>
      <t xml:space="preserve">以上 </t>
    </r>
    <r>
      <rPr>
        <sz val="9"/>
        <rFont val="Arial"/>
        <family val="0"/>
        <charset val="1"/>
      </rPr>
      <t xml:space="preserve">30%</t>
    </r>
    <r>
      <rPr>
        <sz val="9"/>
        <rFont val="Noto Sans CJK SC"/>
        <family val="2"/>
      </rPr>
      <t xml:space="preserve">」＋「年底 </t>
    </r>
    <r>
      <rPr>
        <sz val="9"/>
        <rFont val="Arial"/>
        <family val="0"/>
        <charset val="1"/>
      </rPr>
      <t xml:space="preserve">M7 &gt;10%</t>
    </r>
    <r>
      <rPr>
        <sz val="9"/>
        <rFont val="Noto Sans CJK SC"/>
        <family val="2"/>
      </rPr>
      <t xml:space="preserve">」交叉反解，非量測值</t>
    </r>
  </si>
  <si>
    <r>
      <rPr>
        <b val="true"/>
        <sz val="12"/>
        <rFont val="Noto Sans CJK SC"/>
        <family val="2"/>
      </rPr>
      <t xml:space="preserve">營收驅動：產能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Noto Sans CJK SC"/>
        <family val="2"/>
      </rPr>
      <t xml:space="preserve">稼動率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Noto Sans CJK SC"/>
        <family val="2"/>
      </rPr>
      <t xml:space="preserve">六級距組合</t>
    </r>
  </si>
  <si>
    <t xml:space="preserve">單位</t>
  </si>
  <si>
    <t xml:space="preserve">26Q1</t>
  </si>
  <si>
    <t xml:space="preserve">26Q2</t>
  </si>
  <si>
    <t xml:space="preserve">26Q3</t>
  </si>
  <si>
    <t xml:space="preserve">26Q4</t>
  </si>
  <si>
    <t xml:space="preserve">27Q1</t>
  </si>
  <si>
    <t xml:space="preserve">27Q2</t>
  </si>
  <si>
    <t xml:space="preserve">27Q3</t>
  </si>
  <si>
    <t xml:space="preserve">27Q4</t>
  </si>
  <si>
    <t xml:space="preserve">28Q1</t>
  </si>
  <si>
    <t xml:space="preserve">28Q2</t>
  </si>
  <si>
    <t xml:space="preserve">28Q3</t>
  </si>
  <si>
    <t xml:space="preserve">28Q4</t>
  </si>
  <si>
    <r>
      <rPr>
        <sz val="10"/>
        <rFont val="Noto Sans CJK SC"/>
        <family val="2"/>
      </rPr>
      <t xml:space="preserve">月產能（萬張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月）</t>
    </r>
  </si>
  <si>
    <r>
      <rPr>
        <sz val="9"/>
        <rFont val="Noto Sans CJK SC"/>
        <family val="2"/>
      </rPr>
      <t xml:space="preserve">公司公告；</t>
    </r>
    <r>
      <rPr>
        <sz val="9"/>
        <rFont val="Arial"/>
        <family val="0"/>
        <charset val="1"/>
      </rPr>
      <t xml:space="preserve">2028 </t>
    </r>
    <r>
      <rPr>
        <sz val="9"/>
        <rFont val="Noto Sans CJK SC"/>
        <family val="2"/>
      </rPr>
      <t xml:space="preserve">已後移一季（</t>
    </r>
    <r>
      <rPr>
        <sz val="9"/>
        <rFont val="Arial"/>
        <family val="0"/>
        <charset val="1"/>
      </rPr>
      <t xml:space="preserve">v30</t>
    </r>
    <r>
      <rPr>
        <sz val="9"/>
        <rFont val="Noto Sans CJK SC"/>
        <family val="2"/>
      </rPr>
      <t xml:space="preserve">）</t>
    </r>
  </si>
  <si>
    <t xml:space="preserve">稼動率</t>
  </si>
  <si>
    <r>
      <rPr>
        <sz val="9"/>
        <rFont val="Arial"/>
        <family val="0"/>
        <charset val="1"/>
      </rPr>
      <t xml:space="preserve">0813</t>
    </r>
    <r>
      <rPr>
        <sz val="9"/>
        <rFont val="Noto Sans CJK SC"/>
        <family val="2"/>
      </rPr>
      <t xml:space="preserve">：</t>
    </r>
    <r>
      <rPr>
        <sz val="9"/>
        <rFont val="Arial"/>
        <family val="0"/>
        <charset val="1"/>
      </rPr>
      <t xml:space="preserve">26Q4 75~80%</t>
    </r>
    <r>
      <rPr>
        <sz val="9"/>
        <rFont val="Noto Sans CJK SC"/>
        <family val="2"/>
      </rPr>
      <t xml:space="preserve">；</t>
    </r>
    <r>
      <rPr>
        <sz val="9"/>
        <rFont val="Arial"/>
        <family val="0"/>
        <charset val="1"/>
      </rPr>
      <t xml:space="preserve">2027 </t>
    </r>
    <r>
      <rPr>
        <sz val="9"/>
        <rFont val="Noto Sans CJK SC"/>
        <family val="2"/>
      </rPr>
      <t xml:space="preserve">年底視布源可能近 </t>
    </r>
    <r>
      <rPr>
        <sz val="9"/>
        <rFont val="Arial"/>
        <family val="0"/>
        <charset val="1"/>
      </rPr>
      <t xml:space="preserve">100%</t>
    </r>
  </si>
  <si>
    <t xml:space="preserve">季產出（萬張）</t>
  </si>
  <si>
    <r>
      <rPr>
        <sz val="10"/>
        <rFont val="Arial"/>
        <family val="0"/>
        <charset val="1"/>
      </rPr>
      <t xml:space="preserve">mPPO </t>
    </r>
    <r>
      <rPr>
        <sz val="10"/>
        <rFont val="Noto Sans CJK SC"/>
        <family val="2"/>
      </rPr>
      <t xml:space="preserve">交聯茂（噸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季）</t>
    </r>
  </si>
  <si>
    <r>
      <rPr>
        <sz val="10"/>
        <rFont val="Arial"/>
        <family val="0"/>
        <charset val="1"/>
      </rPr>
      <t xml:space="preserve">M7 CCL </t>
    </r>
    <r>
      <rPr>
        <sz val="10"/>
        <rFont val="Noto Sans CJK SC"/>
        <family val="2"/>
      </rPr>
      <t xml:space="preserve">出貨（萬張）</t>
    </r>
  </si>
  <si>
    <t xml:space="preserve">—— 量佔比（佔季產出張數）</t>
  </si>
  <si>
    <r>
      <rPr>
        <sz val="10"/>
        <rFont val="Noto Sans CJK SC"/>
        <family val="2"/>
      </rPr>
      <t xml:space="preserve">量佔比 </t>
    </r>
    <r>
      <rPr>
        <sz val="10"/>
        <rFont val="Arial"/>
        <family val="0"/>
        <charset val="1"/>
      </rPr>
      <t xml:space="preserve">M4</t>
    </r>
  </si>
  <si>
    <r>
      <rPr>
        <sz val="10"/>
        <rFont val="Noto Sans CJK SC"/>
        <family val="2"/>
      </rPr>
      <t xml:space="preserve">量佔比 </t>
    </r>
    <r>
      <rPr>
        <sz val="10"/>
        <rFont val="Arial"/>
        <family val="0"/>
        <charset val="1"/>
      </rPr>
      <t xml:space="preserve">M6</t>
    </r>
    <r>
      <rPr>
        <sz val="10"/>
        <rFont val="Noto Sans CJK SC"/>
        <family val="2"/>
      </rPr>
      <t xml:space="preserve">（反解）</t>
    </r>
  </si>
  <si>
    <r>
      <rPr>
        <sz val="9"/>
        <rFont val="Noto Sans CJK SC"/>
        <family val="2"/>
      </rPr>
      <t xml:space="preserve">★由「</t>
    </r>
    <r>
      <rPr>
        <sz val="9"/>
        <rFont val="Arial"/>
        <family val="0"/>
        <charset val="1"/>
      </rPr>
      <t xml:space="preserve">M6</t>
    </r>
    <r>
      <rPr>
        <sz val="9"/>
        <rFont val="Noto Sans CJK SC"/>
        <family val="2"/>
      </rPr>
      <t xml:space="preserve">以上營收佔比」錨點反解，見下方檢核列</t>
    </r>
  </si>
  <si>
    <r>
      <rPr>
        <sz val="10"/>
        <rFont val="Noto Sans CJK SC"/>
        <family val="2"/>
      </rPr>
      <t xml:space="preserve">量佔比 </t>
    </r>
    <r>
      <rPr>
        <sz val="10"/>
        <rFont val="Arial"/>
        <family val="0"/>
        <charset val="1"/>
      </rPr>
      <t xml:space="preserve">M7</t>
    </r>
  </si>
  <si>
    <r>
      <rPr>
        <sz val="10"/>
        <rFont val="Noto Sans CJK SC"/>
        <family val="2"/>
      </rPr>
      <t xml:space="preserve">量佔比 </t>
    </r>
    <r>
      <rPr>
        <sz val="10"/>
        <rFont val="Arial"/>
        <family val="0"/>
        <charset val="1"/>
      </rPr>
      <t xml:space="preserve">M8/M8U</t>
    </r>
  </si>
  <si>
    <r>
      <rPr>
        <sz val="10"/>
        <rFont val="Noto Sans CJK SC"/>
        <family val="2"/>
      </rPr>
      <t xml:space="preserve">量佔比 </t>
    </r>
    <r>
      <rPr>
        <sz val="10"/>
        <rFont val="Arial"/>
        <family val="0"/>
        <charset val="1"/>
      </rPr>
      <t xml:space="preserve">M9 ★</t>
    </r>
    <r>
      <rPr>
        <sz val="10"/>
        <rFont val="Noto Sans CJK SC"/>
        <family val="2"/>
      </rPr>
      <t xml:space="preserve">新增</t>
    </r>
  </si>
  <si>
    <r>
      <rPr>
        <sz val="9"/>
        <rFont val="Arial"/>
        <family val="0"/>
        <charset val="1"/>
      </rPr>
      <t xml:space="preserve">★Wallace </t>
    </r>
    <r>
      <rPr>
        <sz val="9"/>
        <rFont val="Noto Sans CJK SC"/>
        <family val="2"/>
      </rPr>
      <t xml:space="preserve">裁示：</t>
    </r>
    <r>
      <rPr>
        <sz val="9"/>
        <rFont val="Arial"/>
        <family val="0"/>
        <charset val="1"/>
      </rPr>
      <t xml:space="preserve">2027 </t>
    </r>
    <r>
      <rPr>
        <sz val="9"/>
        <rFont val="Noto Sans CJK SC"/>
        <family val="2"/>
      </rPr>
      <t xml:space="preserve">年均 </t>
    </r>
    <r>
      <rPr>
        <sz val="9"/>
        <rFont val="Arial"/>
        <family val="0"/>
        <charset val="1"/>
      </rPr>
      <t xml:space="preserve">2.0%</t>
    </r>
    <r>
      <rPr>
        <sz val="9"/>
        <rFont val="Noto Sans CJK SC"/>
        <family val="2"/>
      </rPr>
      <t xml:space="preserve">，</t>
    </r>
    <r>
      <rPr>
        <sz val="9"/>
        <rFont val="Arial"/>
        <family val="0"/>
        <charset val="1"/>
      </rPr>
      <t xml:space="preserve">1Q27 </t>
    </r>
    <r>
      <rPr>
        <sz val="9"/>
        <rFont val="Noto Sans CJK SC"/>
        <family val="2"/>
      </rPr>
      <t xml:space="preserve">起爬坡</t>
    </r>
  </si>
  <si>
    <r>
      <rPr>
        <sz val="10"/>
        <rFont val="Noto Sans CJK SC"/>
        <family val="2"/>
      </rPr>
      <t xml:space="preserve">量佔比 </t>
    </r>
    <r>
      <rPr>
        <sz val="10"/>
        <rFont val="Arial"/>
        <family val="0"/>
        <charset val="1"/>
      </rPr>
      <t xml:space="preserve">FR4/M2</t>
    </r>
    <r>
      <rPr>
        <sz val="10"/>
        <rFont val="Noto Sans CJK SC"/>
        <family val="2"/>
      </rPr>
      <t xml:space="preserve">（殘差）</t>
    </r>
  </si>
  <si>
    <t xml:space="preserve">混合價格指數</t>
  </si>
  <si>
    <r>
      <rPr>
        <sz val="10"/>
        <rFont val="Arial"/>
        <family val="0"/>
        <charset val="1"/>
      </rPr>
      <t xml:space="preserve">M6 </t>
    </r>
    <r>
      <rPr>
        <sz val="10"/>
        <rFont val="Noto Sans CJK SC"/>
        <family val="2"/>
      </rPr>
      <t xml:space="preserve">基準價（元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張，反解）</t>
    </r>
  </si>
  <si>
    <t xml:space="preserve">★由營收錨點反解，非外生給定。見改動說明④</t>
  </si>
  <si>
    <r>
      <rPr>
        <sz val="10"/>
        <rFont val="Noto Sans CJK SC"/>
        <family val="2"/>
      </rPr>
      <t xml:space="preserve">純售價 </t>
    </r>
    <r>
      <rPr>
        <sz val="10"/>
        <rFont val="Arial"/>
        <family val="0"/>
        <charset val="1"/>
      </rPr>
      <t xml:space="preserve">QoQ</t>
    </r>
  </si>
  <si>
    <r>
      <rPr>
        <sz val="9"/>
        <rFont val="Arial"/>
        <family val="0"/>
        <charset val="1"/>
      </rPr>
      <t xml:space="preserve">⚠️ 2H27 </t>
    </r>
    <r>
      <rPr>
        <sz val="9"/>
        <rFont val="Noto Sans CJK SC"/>
        <family val="2"/>
      </rPr>
      <t xml:space="preserve">為負值＝已揭露的內部矛盾，見改動說明第二節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</si>
  <si>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ASP</t>
    </r>
    <r>
      <rPr>
        <sz val="10"/>
        <rFont val="Noto Sans CJK SC"/>
        <family val="2"/>
      </rPr>
      <t xml:space="preserve">（元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張）</t>
    </r>
  </si>
  <si>
    <t xml:space="preserve">季營收（億元）</t>
  </si>
  <si>
    <t xml:space="preserve">季毛利率</t>
  </si>
  <si>
    <r>
      <rPr>
        <sz val="9"/>
        <rFont val="Arial"/>
        <family val="0"/>
        <charset val="1"/>
      </rPr>
      <t xml:space="preserve">26Q1/Q2 </t>
    </r>
    <r>
      <rPr>
        <sz val="9"/>
        <rFont val="Noto Sans CJK SC"/>
        <family val="2"/>
      </rPr>
      <t xml:space="preserve">為實績；</t>
    </r>
    <r>
      <rPr>
        <sz val="9"/>
        <rFont val="Arial"/>
        <family val="0"/>
        <charset val="1"/>
      </rPr>
      <t xml:space="preserve">26Q3 </t>
    </r>
    <r>
      <rPr>
        <sz val="9"/>
        <rFont val="Noto Sans CJK SC"/>
        <family val="2"/>
      </rPr>
      <t xml:space="preserve">起由級距毛利率加權</t>
    </r>
  </si>
  <si>
    <t xml:space="preserve">—— 輸出與檢核</t>
  </si>
  <si>
    <r>
      <rPr>
        <sz val="10"/>
        <rFont val="Arial"/>
        <family val="0"/>
        <charset val="1"/>
      </rPr>
      <t xml:space="preserve">M6 </t>
    </r>
    <r>
      <rPr>
        <sz val="10"/>
        <rFont val="Noto Sans CJK SC"/>
        <family val="2"/>
      </rPr>
      <t xml:space="preserve">以上 營收佔比</t>
    </r>
  </si>
  <si>
    <r>
      <rPr>
        <sz val="10"/>
        <rFont val="Arial"/>
        <family val="0"/>
        <charset val="1"/>
      </rPr>
      <t xml:space="preserve">M9 </t>
    </r>
    <r>
      <rPr>
        <sz val="10"/>
        <rFont val="Noto Sans CJK SC"/>
        <family val="2"/>
      </rPr>
      <t xml:space="preserve">營收佔比</t>
    </r>
  </si>
  <si>
    <r>
      <rPr>
        <sz val="10"/>
        <rFont val="Noto Sans CJK SC"/>
        <family val="2"/>
      </rPr>
      <t xml:space="preserve">錨點：</t>
    </r>
    <r>
      <rPr>
        <sz val="10"/>
        <rFont val="Arial"/>
        <family val="0"/>
        <charset val="1"/>
      </rPr>
      <t xml:space="preserve">M6</t>
    </r>
    <r>
      <rPr>
        <sz val="10"/>
        <rFont val="Noto Sans CJK SC"/>
        <family val="2"/>
      </rPr>
      <t xml:space="preserve">以上營收佔比目標</t>
    </r>
  </si>
  <si>
    <r>
      <rPr>
        <sz val="10"/>
        <rFont val="Noto Sans CJK SC"/>
        <family val="2"/>
      </rPr>
      <t xml:space="preserve">錨點：季營收目標（</t>
    </r>
    <r>
      <rPr>
        <sz val="10"/>
        <rFont val="Arial"/>
        <family val="0"/>
        <charset val="1"/>
      </rPr>
      <t xml:space="preserve">v30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</si>
  <si>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檢核① 組合（應為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</si>
  <si>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檢核② 營收（應為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</si>
  <si>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t xml:space="preserve">單位：億元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</si>
  <si>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</si>
  <si>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</si>
  <si>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</si>
  <si>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</si>
  <si>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</si>
  <si>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</si>
  <si>
    <t xml:space="preserve">115/07</t>
  </si>
  <si>
    <t xml:space="preserve">115/08</t>
  </si>
  <si>
    <t xml:space="preserve">115/09</t>
  </si>
  <si>
    <t xml:space="preserve">115/10</t>
  </si>
  <si>
    <t xml:space="preserve">115/11</t>
  </si>
  <si>
    <t xml:space="preserve">115/12</t>
  </si>
  <si>
    <t xml:space="preserve">116/01</t>
  </si>
  <si>
    <t xml:space="preserve">116/02</t>
  </si>
  <si>
    <t xml:space="preserve">116/03</t>
  </si>
  <si>
    <t xml:space="preserve">116/04</t>
  </si>
  <si>
    <t xml:space="preserve">116/05</t>
  </si>
  <si>
    <t xml:space="preserve">116/06</t>
  </si>
  <si>
    <t xml:space="preserve">116/07</t>
  </si>
  <si>
    <t xml:space="preserve">116/08</t>
  </si>
  <si>
    <t xml:space="preserve">116/09</t>
  </si>
  <si>
    <t xml:space="preserve">116/10</t>
  </si>
  <si>
    <t xml:space="preserve">116/11</t>
  </si>
  <si>
    <t xml:space="preserve">116/12</t>
  </si>
  <si>
    <t xml:space="preserve">117/01</t>
  </si>
  <si>
    <t xml:space="preserve">117/02</t>
  </si>
  <si>
    <t xml:space="preserve">117/03</t>
  </si>
  <si>
    <t xml:space="preserve">117/04</t>
  </si>
  <si>
    <t xml:space="preserve">117/05</t>
  </si>
  <si>
    <t xml:space="preserve">117/06</t>
  </si>
  <si>
    <t xml:space="preserve">117/07</t>
  </si>
  <si>
    <t xml:space="preserve">117/08</t>
  </si>
  <si>
    <t xml:space="preserve">117/09</t>
  </si>
  <si>
    <t xml:space="preserve">117/10</t>
  </si>
  <si>
    <t xml:space="preserve">117/11</t>
  </si>
  <si>
    <t xml:space="preserve">117/12</t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</si>
  <si>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全年</t>
    </r>
  </si>
  <si>
    <r>
      <rPr>
        <b val="true"/>
        <sz val="10"/>
        <color rgb="FFFFFFFF"/>
        <rFont val="Arial"/>
        <family val="0"/>
        <charset val="1"/>
      </rPr>
      <t xml:space="preserve">2027</t>
    </r>
    <r>
      <rPr>
        <b val="true"/>
        <sz val="10"/>
        <color rgb="FFFFFFFF"/>
        <rFont val="Noto Sans CJK SC"/>
        <family val="2"/>
      </rPr>
      <t xml:space="preserve">全年</t>
    </r>
  </si>
  <si>
    <r>
      <rPr>
        <b val="true"/>
        <sz val="10"/>
        <color rgb="FFFFFFFF"/>
        <rFont val="Arial"/>
        <family val="0"/>
        <charset val="1"/>
      </rPr>
      <t xml:space="preserve">2028</t>
    </r>
    <r>
      <rPr>
        <b val="true"/>
        <sz val="10"/>
        <color rgb="FFFFFFFF"/>
        <rFont val="Noto Sans CJK SC"/>
        <family val="2"/>
      </rPr>
      <t xml:space="preserve">全年</t>
    </r>
  </si>
  <si>
    <t xml:space="preserve">月份佔該季比重</t>
  </si>
  <si>
    <t xml:space="preserve">營收</t>
  </si>
  <si>
    <t xml:space="preserve">營業毛利率</t>
  </si>
  <si>
    <t xml:space="preserve">營業毛利</t>
  </si>
  <si>
    <t xml:space="preserve">營業費用率</t>
  </si>
  <si>
    <t xml:space="preserve">營業費用（月）</t>
  </si>
  <si>
    <t xml:space="preserve">營業利益</t>
  </si>
  <si>
    <t xml:space="preserve">營業利益率</t>
  </si>
  <si>
    <t xml:space="preserve">業外收益</t>
  </si>
  <si>
    <t xml:space="preserve">稅前淨利</t>
  </si>
  <si>
    <t xml:space="preserve">稅前淨利率</t>
  </si>
  <si>
    <t xml:space="preserve">有效稅率</t>
  </si>
  <si>
    <t xml:space="preserve">所得稅費用</t>
  </si>
  <si>
    <t xml:space="preserve">稅後淨利</t>
  </si>
  <si>
    <t xml:space="preserve">稅後淨利率</t>
  </si>
  <si>
    <t xml:space="preserve">稅後淨利（歸母）</t>
  </si>
  <si>
    <t xml:space="preserve">股數（億股）</t>
  </si>
  <si>
    <r>
      <rPr>
        <b val="true"/>
        <sz val="10"/>
        <rFont val="Arial"/>
        <family val="0"/>
        <charset val="1"/>
      </rPr>
      <t xml:space="preserve">EPS</t>
    </r>
    <r>
      <rPr>
        <b val="true"/>
        <sz val="10"/>
        <rFont val="Noto Sans CJK SC"/>
        <family val="2"/>
      </rPr>
      <t xml:space="preserve">（元）</t>
    </r>
  </si>
  <si>
    <r>
      <rPr>
        <b val="true"/>
        <sz val="10"/>
        <rFont val="Arial"/>
        <family val="0"/>
        <charset val="1"/>
      </rPr>
      <t xml:space="preserve">EPS </t>
    </r>
    <r>
      <rPr>
        <b val="true"/>
        <sz val="10"/>
        <rFont val="Noto Sans CJK SC"/>
        <family val="2"/>
      </rPr>
      <t xml:space="preserve">每季</t>
    </r>
  </si>
  <si>
    <r>
      <rPr>
        <b val="true"/>
        <sz val="10"/>
        <rFont val="Noto Sans CJK SC"/>
        <family val="2"/>
      </rPr>
      <t xml:space="preserve">年 </t>
    </r>
    <r>
      <rPr>
        <b val="true"/>
        <sz val="10"/>
        <rFont val="Arial"/>
        <family val="0"/>
        <charset val="1"/>
      </rPr>
      <t xml:space="preserve">EPS</t>
    </r>
  </si>
  <si>
    <r>
      <rPr>
        <b val="true"/>
        <sz val="13"/>
        <rFont val="Arial"/>
        <family val="0"/>
        <charset val="1"/>
      </rPr>
      <t xml:space="preserve">v31 vs v30 vs </t>
    </r>
    <r>
      <rPr>
        <b val="true"/>
        <sz val="13"/>
        <rFont val="Noto Sans CJK SC"/>
        <family val="2"/>
      </rPr>
      <t xml:space="preserve">外部預估</t>
    </r>
  </si>
  <si>
    <t xml:space="preserve">2026</t>
  </si>
  <si>
    <t xml:space="preserve">2027</t>
  </si>
  <si>
    <t xml:space="preserve">2028</t>
  </si>
  <si>
    <r>
      <rPr>
        <sz val="10"/>
        <rFont val="Arial"/>
        <family val="0"/>
        <charset val="1"/>
      </rPr>
      <t xml:space="preserve">v31 </t>
    </r>
    <r>
      <rPr>
        <sz val="10"/>
        <rFont val="Noto Sans CJK SC"/>
        <family val="2"/>
      </rPr>
      <t xml:space="preserve">營收（億）</t>
    </r>
  </si>
  <si>
    <r>
      <rPr>
        <sz val="10"/>
        <rFont val="Arial"/>
        <family val="0"/>
        <charset val="1"/>
      </rPr>
      <t xml:space="preserve">v31 </t>
    </r>
    <r>
      <rPr>
        <sz val="10"/>
        <rFont val="Noto Sans CJK SC"/>
        <family val="2"/>
      </rPr>
      <t xml:space="preserve">毛利率</t>
    </r>
  </si>
  <si>
    <r>
      <rPr>
        <sz val="10"/>
        <rFont val="Arial"/>
        <family val="0"/>
        <charset val="1"/>
      </rPr>
      <t xml:space="preserve">v31 </t>
    </r>
    <r>
      <rPr>
        <sz val="10"/>
        <rFont val="Noto Sans CJK SC"/>
        <family val="2"/>
      </rPr>
      <t xml:space="preserve">稅前淨利（億）</t>
    </r>
  </si>
  <si>
    <r>
      <rPr>
        <sz val="10"/>
        <rFont val="Arial"/>
        <family val="0"/>
        <charset val="1"/>
      </rPr>
      <t xml:space="preserve">v31 </t>
    </r>
    <r>
      <rPr>
        <sz val="10"/>
        <rFont val="Noto Sans CJK SC"/>
        <family val="2"/>
      </rPr>
      <t xml:space="preserve">稅後淨利（億）</t>
    </r>
  </si>
  <si>
    <r>
      <rPr>
        <b val="true"/>
        <sz val="10"/>
        <rFont val="Arial"/>
        <family val="0"/>
        <charset val="1"/>
      </rPr>
      <t xml:space="preserve">v31 EPS</t>
    </r>
    <r>
      <rPr>
        <b val="true"/>
        <sz val="10"/>
        <rFont val="Noto Sans CJK SC"/>
        <family val="2"/>
      </rPr>
      <t xml:space="preserve">（元）</t>
    </r>
  </si>
  <si>
    <r>
      <rPr>
        <b val="true"/>
        <sz val="10"/>
        <color rgb="FFFFFFFF"/>
        <rFont val="Noto Sans CJK SC"/>
        <family val="2"/>
      </rPr>
      <t xml:space="preserve">對照（</t>
    </r>
    <r>
      <rPr>
        <b val="true"/>
        <sz val="10"/>
        <color rgb="FFFFFFFF"/>
        <rFont val="Arial"/>
        <family val="0"/>
        <charset val="1"/>
      </rPr>
      <t xml:space="preserve">EPS</t>
    </r>
    <r>
      <rPr>
        <b val="true"/>
        <sz val="10"/>
        <color rgb="FFFFFFFF"/>
        <rFont val="Noto Sans CJK SC"/>
        <family val="2"/>
      </rPr>
      <t xml:space="preserve">，元）</t>
    </r>
  </si>
  <si>
    <r>
      <rPr>
        <sz val="10"/>
        <rFont val="Arial"/>
        <family val="0"/>
        <charset val="1"/>
      </rPr>
      <t xml:space="preserve">v30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20260818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</si>
  <si>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v29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20260817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</si>
  <si>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memo </t>
    </r>
    <r>
      <rPr>
        <sz val="10"/>
        <rFont val="Noto Sans CJK SC"/>
        <family val="2"/>
      </rPr>
      <t xml:space="preserve">內部模型（</t>
    </r>
    <r>
      <rPr>
        <sz val="10"/>
        <rFont val="Arial"/>
        <family val="0"/>
        <charset val="1"/>
      </rPr>
      <t xml:space="preserve">20260814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</si>
  <si>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法人共識（</t>
    </r>
    <r>
      <rPr>
        <sz val="10"/>
        <rFont val="Arial"/>
        <family val="0"/>
        <charset val="1"/>
      </rPr>
      <t xml:space="preserve">20260813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</si>
  <si>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凱基投顧（</t>
    </r>
    <r>
      <rPr>
        <sz val="10"/>
        <rFont val="Arial"/>
        <family val="0"/>
        <charset val="1"/>
      </rPr>
      <t xml:space="preserve">20260807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</si>
  <si>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v31 − v30</t>
    </r>
    <r>
      <rPr>
        <b val="true"/>
        <sz val="10"/>
        <rFont val="Noto Sans CJK SC"/>
        <family val="2"/>
      </rPr>
      <t xml:space="preserve">（元）</t>
    </r>
  </si>
  <si>
    <r>
      <rPr>
        <b val="true"/>
        <sz val="10"/>
        <rFont val="Noto Sans CJK SC"/>
        <family val="2"/>
      </rPr>
      <t xml:space="preserve">現價 </t>
    </r>
    <r>
      <rPr>
        <b val="true"/>
        <sz val="10"/>
        <rFont val="Arial"/>
        <family val="0"/>
        <charset val="1"/>
      </rPr>
      <t xml:space="preserve">488 </t>
    </r>
    <r>
      <rPr>
        <b val="true"/>
        <sz val="10"/>
        <rFont val="Noto Sans CJK SC"/>
        <family val="2"/>
      </rPr>
      <t xml:space="preserve">元（</t>
    </r>
    <r>
      <rPr>
        <b val="true"/>
        <sz val="10"/>
        <rFont val="Arial"/>
        <family val="0"/>
        <charset val="1"/>
      </rPr>
      <t xml:space="preserve">2026/08/18 </t>
    </r>
    <r>
      <rPr>
        <b val="true"/>
        <sz val="10"/>
        <rFont val="Noto Sans CJK SC"/>
        <family val="2"/>
      </rPr>
      <t xml:space="preserve">收）隱含 </t>
    </r>
    <r>
      <rPr>
        <b val="true"/>
        <sz val="10"/>
        <rFont val="Arial"/>
        <family val="0"/>
        <charset val="1"/>
      </rPr>
      <t xml:space="preserve">PE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</si>
</sst>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0%;\(0.00%\);\-"/>
    <numFmt numFmtId="167" formatCode="0.000"/>
    <numFmt numFmtId="168" formatCode="#,##0"/>
    <numFmt numFmtId="169" formatCode="#,##0.0"/>
    <numFmt numFmtId="170" formatCode="0.0000"/>
    <numFmt numFmtId="171" formatCode="#,##0.00;\(#,##0.00\);\-"/>
    <numFmt numFmtId="172" formatCode="0.0%;\(0.0%\);\-"/>
    <numFmt numFmtId="173" formatCode="0.0000%"/>
    <numFmt numFmtId="174" formatCode="0.00;\(0.00\);\-"/>
    <numFmt numFmtId="175" formatCode="\+0.00;\-0.00;\-"/>
    <numFmt numFmtId="176" formatCode="0.0\x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  <font>
      <sz val="9"/>
      <color rgb="FF000000"/>
      <name val="Noto Sans CJK SC"/>
      <family val="2"/>
    </font>
    <font>
      <sz val="9"/>
      <color rgb="FF000000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7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4" t="s">
        <v>6</v>
      </c>
      <c r="E5" s="4" t="s">
        <v>7</v>
      </c>
    </row>
    <row r="6" customFormat="false" ht="61.5" hidden="false" customHeight="true" outlineLevel="0" collapsed="false">
      <c r="A6" s="6" t="s">
        <v>8</v>
      </c>
      <c r="B6" s="6" t="s">
        <v>9</v>
      </c>
      <c r="C6" s="7" t="s">
        <v>10</v>
      </c>
      <c r="D6" s="6" t="s">
        <v>11</v>
      </c>
      <c r="E6" s="8" t="s">
        <v>12</v>
      </c>
    </row>
    <row r="7" customFormat="false" ht="61.5" hidden="false" customHeight="true" outlineLevel="0" collapsed="false">
      <c r="A7" s="9" t="s">
        <v>13</v>
      </c>
      <c r="B7" s="9" t="s">
        <v>14</v>
      </c>
      <c r="C7" s="7" t="s">
        <v>15</v>
      </c>
      <c r="D7" s="9" t="s">
        <v>16</v>
      </c>
      <c r="E7" s="8" t="s">
        <v>17</v>
      </c>
    </row>
    <row r="8" customFormat="false" ht="61.5" hidden="false" customHeight="true" outlineLevel="0" collapsed="false">
      <c r="A8" s="9" t="s">
        <v>18</v>
      </c>
      <c r="B8" s="9" t="s">
        <v>19</v>
      </c>
      <c r="C8" s="7" t="s">
        <v>20</v>
      </c>
      <c r="D8" s="9" t="s">
        <v>21</v>
      </c>
      <c r="E8" s="10" t="s">
        <v>22</v>
      </c>
    </row>
    <row r="9" customFormat="false" ht="61.5" hidden="false" customHeight="true" outlineLevel="0" collapsed="false">
      <c r="A9" s="6" t="s">
        <v>23</v>
      </c>
      <c r="B9" s="6" t="s">
        <v>24</v>
      </c>
      <c r="C9" s="11" t="s">
        <v>25</v>
      </c>
      <c r="D9" s="6" t="s">
        <v>26</v>
      </c>
      <c r="E9" s="8" t="s">
        <v>27</v>
      </c>
    </row>
    <row r="11" customFormat="false" ht="15" hidden="false" customHeight="false" outlineLevel="0" collapsed="false">
      <c r="A11" s="3" t="s">
        <v>28</v>
      </c>
      <c r="B11" s="3"/>
      <c r="C11" s="3"/>
      <c r="D11" s="3"/>
      <c r="E11" s="3"/>
    </row>
    <row r="12" customFormat="false" ht="39.55" hidden="false" customHeight="false" outlineLevel="0" collapsed="false">
      <c r="A12" s="12" t="s">
        <v>29</v>
      </c>
    </row>
    <row r="13" customFormat="false" ht="52.2" hidden="false" customHeight="false" outlineLevel="0" collapsed="false">
      <c r="A13" s="13" t="s">
        <v>30</v>
      </c>
    </row>
    <row r="14" customFormat="false" ht="52.2" hidden="false" customHeight="false" outlineLevel="0" collapsed="false">
      <c r="A14" s="13" t="s">
        <v>31</v>
      </c>
    </row>
    <row r="15" customFormat="false" ht="39.55" hidden="false" customHeight="false" outlineLevel="0" collapsed="false">
      <c r="A15" s="13" t="s">
        <v>32</v>
      </c>
    </row>
    <row r="17" customFormat="false" ht="15" hidden="false" customHeight="false" outlineLevel="0" collapsed="false">
      <c r="A17" s="3" t="s">
        <v>33</v>
      </c>
      <c r="B17" s="3"/>
      <c r="C17" s="3"/>
      <c r="D17" s="3"/>
      <c r="E17" s="3"/>
    </row>
    <row r="18" customFormat="false" ht="64.9" hidden="false" customHeight="false" outlineLevel="0" collapsed="false">
      <c r="A18" s="14" t="s">
        <v>34</v>
      </c>
    </row>
    <row r="19" customFormat="false" ht="64.9" hidden="false" customHeight="false" outlineLevel="0" collapsed="false">
      <c r="A19" s="15" t="s">
        <v>35</v>
      </c>
    </row>
    <row r="20" customFormat="false" ht="39.55" hidden="false" customHeight="false" outlineLevel="0" collapsed="false">
      <c r="A20" s="14" t="s">
        <v>36</v>
      </c>
    </row>
    <row r="21" customFormat="false" ht="52.2" hidden="false" customHeight="false" outlineLevel="0" collapsed="false">
      <c r="A21" s="14" t="s">
        <v>37</v>
      </c>
    </row>
    <row r="22" customFormat="false" ht="39.55" hidden="false" customHeight="false" outlineLevel="0" collapsed="false">
      <c r="A22" s="14" t="s">
        <v>38</v>
      </c>
    </row>
    <row r="23" customFormat="false" ht="52.2" hidden="false" customHeight="false" outlineLevel="0" collapsed="false">
      <c r="A23" s="14" t="s">
        <v>39</v>
      </c>
    </row>
    <row r="25" customFormat="false" ht="15" hidden="false" customHeight="false" outlineLevel="0" collapsed="false">
      <c r="A25" s="3" t="s">
        <v>40</v>
      </c>
      <c r="B25" s="3"/>
      <c r="C25" s="3"/>
      <c r="D25" s="3"/>
      <c r="E25" s="3"/>
    </row>
    <row r="26" customFormat="false" ht="15" hidden="false" customHeight="false" outlineLevel="0" collapsed="false">
      <c r="A26" s="4" t="s">
        <v>41</v>
      </c>
      <c r="B26" s="4" t="s">
        <v>42</v>
      </c>
      <c r="C26" s="4" t="s">
        <v>43</v>
      </c>
      <c r="D26" s="4" t="s">
        <v>44</v>
      </c>
    </row>
    <row r="27" customFormat="false" ht="15" hidden="false" customHeight="false" outlineLevel="0" collapsed="false">
      <c r="A27" s="9" t="s">
        <v>45</v>
      </c>
      <c r="B27" s="16" t="n">
        <v>0.48</v>
      </c>
      <c r="C27" s="17" t="n">
        <v>0.25</v>
      </c>
      <c r="D27" s="18" t="s">
        <v>46</v>
      </c>
    </row>
    <row r="28" customFormat="false" ht="15" hidden="false" customHeight="false" outlineLevel="0" collapsed="false">
      <c r="A28" s="9" t="s">
        <v>47</v>
      </c>
      <c r="B28" s="16" t="n">
        <v>0.75</v>
      </c>
      <c r="C28" s="17" t="n">
        <v>0.25</v>
      </c>
      <c r="D28" s="18" t="s">
        <v>48</v>
      </c>
    </row>
    <row r="29" customFormat="false" ht="15" hidden="false" customHeight="false" outlineLevel="0" collapsed="false">
      <c r="A29" s="9" t="s">
        <v>49</v>
      </c>
      <c r="B29" s="16" t="n">
        <v>1</v>
      </c>
      <c r="C29" s="17" t="n">
        <v>0.35</v>
      </c>
      <c r="D29" s="18" t="s">
        <v>50</v>
      </c>
    </row>
    <row r="30" customFormat="false" ht="15" hidden="false" customHeight="false" outlineLevel="0" collapsed="false">
      <c r="A30" s="9" t="s">
        <v>51</v>
      </c>
      <c r="B30" s="16" t="n">
        <v>1.3</v>
      </c>
      <c r="C30" s="17" t="n">
        <v>0.4</v>
      </c>
      <c r="D30" s="19" t="s">
        <v>52</v>
      </c>
    </row>
    <row r="31" customFormat="false" ht="15" hidden="false" customHeight="false" outlineLevel="0" collapsed="false">
      <c r="A31" s="9" t="s">
        <v>53</v>
      </c>
      <c r="B31" s="16" t="n">
        <v>3</v>
      </c>
      <c r="C31" s="17" t="n">
        <v>0.48</v>
      </c>
      <c r="D31" s="19" t="s">
        <v>54</v>
      </c>
    </row>
    <row r="32" customFormat="false" ht="15" hidden="false" customHeight="false" outlineLevel="0" collapsed="false">
      <c r="A32" s="9" t="s">
        <v>55</v>
      </c>
      <c r="B32" s="16" t="n">
        <v>8</v>
      </c>
      <c r="C32" s="17" t="n">
        <v>0.5</v>
      </c>
      <c r="D32" s="19" t="s">
        <v>56</v>
      </c>
    </row>
    <row r="34" customFormat="false" ht="15" hidden="false" customHeight="false" outlineLevel="0" collapsed="false">
      <c r="A34" s="20" t="s">
        <v>57</v>
      </c>
      <c r="B34" s="21" t="n">
        <v>0.12</v>
      </c>
      <c r="D34" s="22" t="s">
        <v>58</v>
      </c>
    </row>
    <row r="35" customFormat="false" ht="15" hidden="false" customHeight="false" outlineLevel="0" collapsed="false">
      <c r="A35" s="20" t="s">
        <v>59</v>
      </c>
      <c r="B35" s="23" t="n">
        <v>0.571</v>
      </c>
      <c r="D35" s="24" t="s">
        <v>60</v>
      </c>
    </row>
    <row r="36" customFormat="false" ht="15" hidden="false" customHeight="false" outlineLevel="0" collapsed="false">
      <c r="A36" s="25" t="s">
        <v>61</v>
      </c>
      <c r="B36" s="23" t="n">
        <v>0.188</v>
      </c>
      <c r="D36" s="2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</cols>
  <sheetData>
    <row r="1" customFormat="false" ht="19.4" hidden="false" customHeight="false" outlineLevel="0" collapsed="false">
      <c r="A1" s="26" t="s">
        <v>63</v>
      </c>
    </row>
    <row r="2" customFormat="false" ht="15" hidden="false" customHeight="false" outlineLevel="0" collapsed="false">
      <c r="A2" s="3" t="s">
        <v>64</v>
      </c>
      <c r="B2" s="27" t="s">
        <v>65</v>
      </c>
      <c r="C2" s="27" t="s">
        <v>66</v>
      </c>
      <c r="D2" s="27" t="s">
        <v>67</v>
      </c>
      <c r="E2" s="27" t="s">
        <v>68</v>
      </c>
      <c r="F2" s="27" t="s">
        <v>69</v>
      </c>
      <c r="G2" s="27" t="s">
        <v>70</v>
      </c>
      <c r="H2" s="27" t="s">
        <v>71</v>
      </c>
      <c r="I2" s="27" t="s">
        <v>72</v>
      </c>
      <c r="J2" s="27" t="s">
        <v>73</v>
      </c>
      <c r="K2" s="27" t="s">
        <v>74</v>
      </c>
      <c r="L2" s="27" t="s">
        <v>75</v>
      </c>
      <c r="M2" s="27" t="s">
        <v>76</v>
      </c>
    </row>
    <row r="3" customFormat="false" ht="15" hidden="false" customHeight="false" outlineLevel="0" collapsed="false">
      <c r="A3" s="25" t="s">
        <v>77</v>
      </c>
      <c r="B3" s="28" t="n">
        <v>540</v>
      </c>
      <c r="C3" s="28" t="n">
        <v>540</v>
      </c>
      <c r="D3" s="28" t="n">
        <v>540</v>
      </c>
      <c r="E3" s="28" t="n">
        <v>555</v>
      </c>
      <c r="F3" s="28" t="n">
        <v>590</v>
      </c>
      <c r="G3" s="28" t="n">
        <v>620</v>
      </c>
      <c r="H3" s="28" t="n">
        <v>630</v>
      </c>
      <c r="I3" s="28" t="n">
        <v>630</v>
      </c>
      <c r="J3" s="28" t="n">
        <v>630</v>
      </c>
      <c r="K3" s="28" t="n">
        <v>690</v>
      </c>
      <c r="L3" s="28" t="n">
        <v>765</v>
      </c>
      <c r="M3" s="28" t="n">
        <v>810</v>
      </c>
      <c r="O3" s="24" t="s">
        <v>78</v>
      </c>
    </row>
    <row r="4" customFormat="false" ht="15" hidden="false" customHeight="false" outlineLevel="0" collapsed="false">
      <c r="A4" s="25" t="s">
        <v>79</v>
      </c>
      <c r="B4" s="29" t="n">
        <v>0.7358</v>
      </c>
      <c r="C4" s="29" t="n">
        <v>0.7444</v>
      </c>
      <c r="D4" s="29" t="n">
        <v>0.77</v>
      </c>
      <c r="E4" s="29" t="n">
        <v>0.775</v>
      </c>
      <c r="F4" s="29" t="n">
        <v>0.78</v>
      </c>
      <c r="G4" s="29" t="n">
        <v>0.8</v>
      </c>
      <c r="H4" s="29" t="n">
        <v>0.88</v>
      </c>
      <c r="I4" s="29" t="n">
        <v>0.95</v>
      </c>
      <c r="J4" s="29" t="n">
        <v>0.9</v>
      </c>
      <c r="K4" s="29" t="n">
        <v>0.9</v>
      </c>
      <c r="L4" s="29" t="n">
        <v>0.9</v>
      </c>
      <c r="M4" s="29" t="n">
        <v>0.9</v>
      </c>
      <c r="O4" s="22" t="s">
        <v>80</v>
      </c>
    </row>
    <row r="5" customFormat="false" ht="15" hidden="false" customHeight="false" outlineLevel="0" collapsed="false">
      <c r="A5" s="25" t="s">
        <v>81</v>
      </c>
      <c r="B5" s="30" t="n">
        <f aca="false">B3*3*B4</f>
        <v>1191.996</v>
      </c>
      <c r="C5" s="30" t="n">
        <f aca="false">C3*3*C4</f>
        <v>1205.928</v>
      </c>
      <c r="D5" s="30" t="n">
        <f aca="false">D3*3*D4</f>
        <v>1247.4</v>
      </c>
      <c r="E5" s="30" t="n">
        <f aca="false">E3*3*E4</f>
        <v>1290.375</v>
      </c>
      <c r="F5" s="30" t="n">
        <f aca="false">F3*3*F4</f>
        <v>1380.6</v>
      </c>
      <c r="G5" s="30" t="n">
        <f aca="false">G3*3*G4</f>
        <v>1488</v>
      </c>
      <c r="H5" s="30" t="n">
        <f aca="false">H3*3*H4</f>
        <v>1663.2</v>
      </c>
      <c r="I5" s="30" t="n">
        <f aca="false">I3*3*I4</f>
        <v>1795.5</v>
      </c>
      <c r="J5" s="30" t="n">
        <f aca="false">J3*3*J4</f>
        <v>1701</v>
      </c>
      <c r="K5" s="30" t="n">
        <f aca="false">K3*3*K4</f>
        <v>1863</v>
      </c>
      <c r="L5" s="30" t="n">
        <f aca="false">L3*3*L4</f>
        <v>2065.5</v>
      </c>
      <c r="M5" s="30" t="n">
        <f aca="false">M3*3*M4</f>
        <v>2187</v>
      </c>
    </row>
    <row r="6" customFormat="false" ht="15" hidden="false" customHeight="false" outlineLevel="0" collapsed="false">
      <c r="A6" s="20" t="s">
        <v>82</v>
      </c>
      <c r="B6" s="28" t="n">
        <v>20</v>
      </c>
      <c r="C6" s="28" t="n">
        <v>40</v>
      </c>
      <c r="D6" s="28" t="n">
        <v>160</v>
      </c>
      <c r="E6" s="28" t="n">
        <v>256</v>
      </c>
      <c r="F6" s="28" t="n">
        <v>290</v>
      </c>
      <c r="G6" s="28" t="n">
        <v>320</v>
      </c>
      <c r="H6" s="28" t="n">
        <v>350</v>
      </c>
      <c r="I6" s="28" t="n">
        <v>375</v>
      </c>
      <c r="J6" s="28" t="n">
        <v>400</v>
      </c>
      <c r="K6" s="28" t="n">
        <v>430</v>
      </c>
      <c r="L6" s="28" t="n">
        <v>455</v>
      </c>
      <c r="M6" s="28" t="n">
        <v>475</v>
      </c>
    </row>
    <row r="7" customFormat="false" ht="15" hidden="false" customHeight="false" outlineLevel="0" collapsed="false">
      <c r="A7" s="20" t="s">
        <v>83</v>
      </c>
      <c r="B7" s="31" t="n">
        <f aca="false">B6*0_v31改動與假設!$B$35*1000/0_v31改動與假設!$B$36/10000</f>
        <v>6.07446808510638</v>
      </c>
      <c r="C7" s="31" t="n">
        <f aca="false">C6*0_v31改動與假設!$B$35*1000/0_v31改動與假設!$B$36/10000</f>
        <v>12.1489361702128</v>
      </c>
      <c r="D7" s="31" t="n">
        <f aca="false">D6*0_v31改動與假設!$B$35*1000/0_v31改動與假設!$B$36/10000</f>
        <v>48.5957446808511</v>
      </c>
      <c r="E7" s="31" t="n">
        <f aca="false">E6*0_v31改動與假設!$B$35*1000/0_v31改動與假設!$B$36/10000</f>
        <v>77.7531914893617</v>
      </c>
      <c r="F7" s="31" t="n">
        <f aca="false">F6*0_v31改動與假設!$B$35*1000/0_v31改動與假設!$B$36/10000</f>
        <v>88.0797872340425</v>
      </c>
      <c r="G7" s="31" t="n">
        <f aca="false">G6*0_v31改動與假設!$B$35*1000/0_v31改動與假設!$B$36/10000</f>
        <v>97.1914893617021</v>
      </c>
      <c r="H7" s="31" t="n">
        <f aca="false">H6*0_v31改動與假設!$B$35*1000/0_v31改動與假設!$B$36/10000</f>
        <v>106.303191489362</v>
      </c>
      <c r="I7" s="31" t="n">
        <f aca="false">I6*0_v31改動與假設!$B$35*1000/0_v31改動與假設!$B$36/10000</f>
        <v>113.896276595745</v>
      </c>
      <c r="J7" s="31" t="n">
        <f aca="false">J6*0_v31改動與假設!$B$35*1000/0_v31改動與假設!$B$36/10000</f>
        <v>121.489361702128</v>
      </c>
      <c r="K7" s="31" t="n">
        <f aca="false">K6*0_v31改動與假設!$B$35*1000/0_v31改動與假設!$B$36/10000</f>
        <v>130.601063829787</v>
      </c>
      <c r="L7" s="31" t="n">
        <f aca="false">L6*0_v31改動與假設!$B$35*1000/0_v31改動與假設!$B$36/10000</f>
        <v>138.19414893617</v>
      </c>
      <c r="M7" s="31" t="n">
        <f aca="false">M6*0_v31改動與假設!$B$35*1000/0_v31改動與假設!$B$36/10000</f>
        <v>144.268617021277</v>
      </c>
    </row>
    <row r="8" customFormat="false" ht="15" hidden="false" customHeight="false" outlineLevel="0" collapsed="false">
      <c r="A8" s="32" t="s">
        <v>84</v>
      </c>
    </row>
    <row r="9" customFormat="false" ht="15" hidden="false" customHeight="false" outlineLevel="0" collapsed="false">
      <c r="A9" s="25" t="s">
        <v>85</v>
      </c>
      <c r="B9" s="29" t="n">
        <v>0.21</v>
      </c>
      <c r="C9" s="29" t="n">
        <v>0.21</v>
      </c>
      <c r="D9" s="29" t="n">
        <v>0.205</v>
      </c>
      <c r="E9" s="29" t="n">
        <v>0.2</v>
      </c>
      <c r="F9" s="29" t="n">
        <v>0.195</v>
      </c>
      <c r="G9" s="29" t="n">
        <v>0.19</v>
      </c>
      <c r="H9" s="29" t="n">
        <v>0.185</v>
      </c>
      <c r="I9" s="29" t="n">
        <v>0.18</v>
      </c>
      <c r="J9" s="29" t="n">
        <v>0.175</v>
      </c>
      <c r="K9" s="29" t="n">
        <v>0.172</v>
      </c>
      <c r="L9" s="29" t="n">
        <v>0.17</v>
      </c>
      <c r="M9" s="29" t="n">
        <v>0.168</v>
      </c>
    </row>
    <row r="10" customFormat="false" ht="15" hidden="false" customHeight="false" outlineLevel="0" collapsed="false">
      <c r="A10" s="25" t="s">
        <v>86</v>
      </c>
      <c r="B10" s="29" t="n">
        <v>0.140485</v>
      </c>
      <c r="C10" s="29" t="n">
        <v>0.174975</v>
      </c>
      <c r="D10" s="29" t="n">
        <v>0.160612</v>
      </c>
      <c r="E10" s="29" t="n">
        <v>0.17756</v>
      </c>
      <c r="F10" s="29" t="n">
        <v>0.158764</v>
      </c>
      <c r="G10" s="29" t="n">
        <v>0.138025</v>
      </c>
      <c r="H10" s="29" t="n">
        <v>0.125656</v>
      </c>
      <c r="I10" s="29" t="n">
        <v>0.103793</v>
      </c>
      <c r="J10" s="29" t="n">
        <v>0.099514</v>
      </c>
      <c r="K10" s="29" t="n">
        <v>0.110785</v>
      </c>
      <c r="L10" s="29" t="n">
        <v>0.121278</v>
      </c>
      <c r="M10" s="29" t="n">
        <v>0.13543</v>
      </c>
      <c r="O10" s="24" t="s">
        <v>87</v>
      </c>
    </row>
    <row r="11" customFormat="false" ht="15" hidden="false" customHeight="false" outlineLevel="0" collapsed="false">
      <c r="A11" s="25" t="s">
        <v>88</v>
      </c>
      <c r="B11" s="33" t="n">
        <f aca="false">B7/B5</f>
        <v>0.00509604737357037</v>
      </c>
      <c r="C11" s="33" t="n">
        <f aca="false">C7/C5</f>
        <v>0.010074346204925</v>
      </c>
      <c r="D11" s="33" t="n">
        <f aca="false">D7/D5</f>
        <v>0.0389576276101099</v>
      </c>
      <c r="E11" s="33" t="n">
        <f aca="false">E7/E5</f>
        <v>0.0602562754930634</v>
      </c>
      <c r="F11" s="33" t="n">
        <f aca="false">F7/F5</f>
        <v>0.0637981944328861</v>
      </c>
      <c r="G11" s="33" t="n">
        <f aca="false">G7/G5</f>
        <v>0.0653168611301762</v>
      </c>
      <c r="H11" s="33" t="n">
        <f aca="false">H7/H5</f>
        <v>0.0639148577978365</v>
      </c>
      <c r="I11" s="33" t="n">
        <f aca="false">I7/I5</f>
        <v>0.0634342949572513</v>
      </c>
      <c r="J11" s="33" t="n">
        <f aca="false">J7/J5</f>
        <v>0.0714223172852014</v>
      </c>
      <c r="K11" s="33" t="n">
        <f aca="false">K7/K5</f>
        <v>0.0701025570744966</v>
      </c>
      <c r="L11" s="33" t="n">
        <f aca="false">L7/L5</f>
        <v>0.0669059060451078</v>
      </c>
      <c r="M11" s="33" t="n">
        <f aca="false">M7/M5</f>
        <v>0.0659664458259152</v>
      </c>
    </row>
    <row r="12" customFormat="false" ht="15" hidden="false" customHeight="false" outlineLevel="0" collapsed="false">
      <c r="A12" s="25" t="s">
        <v>89</v>
      </c>
      <c r="B12" s="33" t="n">
        <f aca="false">B11*0_v31改動與假設!$B$34</f>
        <v>0.000611525684828444</v>
      </c>
      <c r="C12" s="33" t="n">
        <f aca="false">C11*0_v31改動與假設!$B$34</f>
        <v>0.001208921544591</v>
      </c>
      <c r="D12" s="33" t="n">
        <f aca="false">D11*0_v31改動與假設!$B$34</f>
        <v>0.00467491531321318</v>
      </c>
      <c r="E12" s="33" t="n">
        <f aca="false">E11*0_v31改動與假設!$B$34</f>
        <v>0.00723075305916761</v>
      </c>
      <c r="F12" s="33" t="n">
        <f aca="false">F11*0_v31改動與假設!$B$34</f>
        <v>0.00765578333194633</v>
      </c>
      <c r="G12" s="33" t="n">
        <f aca="false">G11*0_v31改動與假設!$B$34</f>
        <v>0.00783802333562114</v>
      </c>
      <c r="H12" s="33" t="n">
        <f aca="false">H11*0_v31改動與假設!$B$34</f>
        <v>0.00766978293574038</v>
      </c>
      <c r="I12" s="33" t="n">
        <f aca="false">I11*0_v31改動與假設!$B$34</f>
        <v>0.00761211539487015</v>
      </c>
      <c r="J12" s="33" t="n">
        <f aca="false">J11*0_v31改動與假設!$B$34</f>
        <v>0.00857067807422417</v>
      </c>
      <c r="K12" s="33" t="n">
        <f aca="false">K11*0_v31改動與假設!$B$34</f>
        <v>0.0084123068489396</v>
      </c>
      <c r="L12" s="33" t="n">
        <f aca="false">L11*0_v31改動與假設!$B$34</f>
        <v>0.00802870872541294</v>
      </c>
      <c r="M12" s="33" t="n">
        <f aca="false">M11*0_v31改動與假設!$B$34</f>
        <v>0.00791597349910983</v>
      </c>
    </row>
    <row r="13" customFormat="false" ht="15" hidden="false" customHeight="false" outlineLevel="0" collapsed="false">
      <c r="A13" s="25" t="s">
        <v>90</v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0.008</v>
      </c>
      <c r="G13" s="29" t="n">
        <v>0.016</v>
      </c>
      <c r="H13" s="29" t="n">
        <v>0.024</v>
      </c>
      <c r="I13" s="29" t="n">
        <v>0.032</v>
      </c>
      <c r="J13" s="29" t="n">
        <v>0.035</v>
      </c>
      <c r="K13" s="29" t="n">
        <v>0.038</v>
      </c>
      <c r="L13" s="29" t="n">
        <v>0.042</v>
      </c>
      <c r="M13" s="29" t="n">
        <v>0.045</v>
      </c>
      <c r="O13" s="22" t="s">
        <v>91</v>
      </c>
    </row>
    <row r="14" customFormat="false" ht="15" hidden="false" customHeight="false" outlineLevel="0" collapsed="false">
      <c r="A14" s="25" t="s">
        <v>92</v>
      </c>
      <c r="B14" s="33" t="n">
        <f aca="false">1-B9-B10-B11-B12-B13</f>
        <v>0.643807426941601</v>
      </c>
      <c r="C14" s="33" t="n">
        <f aca="false">1-C9-C10-C11-C12-C13</f>
        <v>0.603741732250484</v>
      </c>
      <c r="D14" s="33" t="n">
        <f aca="false">1-D9-D10-D11-D12-D13</f>
        <v>0.590755457076677</v>
      </c>
      <c r="E14" s="33" t="n">
        <f aca="false">1-E9-E10-E11-E12-E13</f>
        <v>0.554952971447769</v>
      </c>
      <c r="F14" s="33" t="n">
        <f aca="false">1-F9-F10-F11-F12-F13</f>
        <v>0.566782022235167</v>
      </c>
      <c r="G14" s="33" t="n">
        <f aca="false">1-G9-G10-G11-G12-G13</f>
        <v>0.582820115534203</v>
      </c>
      <c r="H14" s="33" t="n">
        <f aca="false">1-H9-H10-H11-H12-H13</f>
        <v>0.593759359266423</v>
      </c>
      <c r="I14" s="33" t="n">
        <f aca="false">1-I9-I10-I11-I12-I13</f>
        <v>0.613160589647879</v>
      </c>
      <c r="J14" s="33" t="n">
        <f aca="false">1-J9-J10-J11-J12-J13</f>
        <v>0.610493004640574</v>
      </c>
      <c r="K14" s="33" t="n">
        <f aca="false">1-K9-K10-K11-K12-K13</f>
        <v>0.600700136076564</v>
      </c>
      <c r="L14" s="33" t="n">
        <f aca="false">1-L9-L10-L11-L12-L13</f>
        <v>0.591787385229479</v>
      </c>
      <c r="M14" s="33" t="n">
        <f aca="false">1-M9-M10-M11-M12-M13</f>
        <v>0.577687580674975</v>
      </c>
    </row>
    <row r="15" customFormat="false" ht="15" hidden="false" customHeight="false" outlineLevel="0" collapsed="false">
      <c r="A15" s="25" t="s">
        <v>93</v>
      </c>
      <c r="B15" s="34" t="n">
        <f aca="false">B14*0_v31改動與假設!$B$27+B9*0_v31改動與假設!$B$28+B10*0_v31改動與假設!$B$29+B11*0_v31改動與假設!$B$30+B12*0_v31改動與假設!$B$31+B13*0_v31改動與假設!$B$32</f>
        <v>0.615472003572095</v>
      </c>
      <c r="C15" s="34" t="n">
        <f aca="false">C14*0_v31改動與假設!$B$27+C9*0_v31改動與假設!$B$28+C10*0_v31改動與假設!$B$29+C11*0_v31改動與假設!$B$30+C12*0_v31改動與假設!$B$31+C13*0_v31改動與假設!$B$32</f>
        <v>0.638994446180408</v>
      </c>
      <c r="D15" s="34" t="n">
        <f aca="false">D14*0_v31改動與假設!$B$27+D9*0_v31改動與假設!$B$28+D10*0_v31改動與假設!$B$29+D11*0_v31改動與假設!$B$30+D12*0_v31改動與假設!$B$31+D13*0_v31改動與假設!$B$32</f>
        <v>0.662594281229587</v>
      </c>
      <c r="E15" s="34" t="n">
        <f aca="false">E14*0_v31改動與假設!$B$27+E9*0_v31改動與假設!$B$28+E10*0_v31改動與假設!$B$29+E11*0_v31改動與假設!$B$30+E12*0_v31改動與假設!$B$31+E13*0_v31改動與假設!$B$32</f>
        <v>0.693962843613414</v>
      </c>
      <c r="F15" s="34" t="n">
        <f aca="false">F14*0_v31改動與假設!$B$27+F9*0_v31改動與假設!$B$28+F10*0_v31改動與假設!$B$29+F11*0_v31改動與假設!$B$30+F12*0_v31改動與假設!$B$31+F13*0_v31改動與假設!$B$32</f>
        <v>0.746974373431471</v>
      </c>
      <c r="G15" s="34" t="n">
        <f aca="false">G14*0_v31改動與假設!$B$27+G9*0_v31改動與假設!$B$28+G10*0_v31改動與假設!$B$29+G11*0_v31改動與假設!$B$30+G12*0_v31改動與假設!$B$31+G13*0_v31改動與假設!$B$32</f>
        <v>0.79670464493251</v>
      </c>
      <c r="H15" s="34" t="n">
        <f aca="false">H14*0_v31改動與假設!$B$27+H9*0_v31改動與假設!$B$28+H10*0_v31改動與假設!$B$29+H11*0_v31改動與假設!$B$30+H12*0_v31改動與假設!$B$31+H13*0_v31改動與假設!$B$32</f>
        <v>0.847509156392292</v>
      </c>
      <c r="I15" s="34" t="n">
        <f aca="false">I14*0_v31改動與假設!$B$27+I9*0_v31改動與假設!$B$28+I10*0_v31改動與假設!$B$29+I11*0_v31改動與假設!$B$30+I12*0_v31改動與假設!$B$31+I13*0_v31改動與假設!$B$32</f>
        <v>0.894411012660019</v>
      </c>
      <c r="J15" s="34" t="n">
        <f aca="false">J14*0_v31改動與假設!$B$27+J9*0_v31改動與假設!$B$28+J10*0_v31改動與假設!$B$29+J11*0_v31改動與假設!$B$30+J12*0_v31改動與假設!$B$31+J13*0_v31改動與假設!$B$32</f>
        <v>0.92236168892091</v>
      </c>
      <c r="K15" s="34" t="n">
        <f aca="false">K14*0_v31改動與假設!$B$27+K9*0_v31改動與假設!$B$28+K10*0_v31改動與假設!$B$29+K11*0_v31改動與假設!$B$30+K12*0_v31改動與假設!$B$31+K13*0_v31改動與假設!$B$32</f>
        <v>0.948491310060415</v>
      </c>
      <c r="L15" s="34" t="n">
        <f aca="false">L14*0_v31改動與假設!$B$27+L9*0_v31改動與假設!$B$28+L10*0_v31改動與假設!$B$29+L11*0_v31改動與假設!$B$30+L12*0_v31改動與假設!$B$31+L13*0_v31改動與假設!$B$32</f>
        <v>0.979899748945029</v>
      </c>
      <c r="M15" s="34" t="n">
        <f aca="false">M14*0_v31改動與假設!$B$27+M9*0_v31改動與假設!$B$28+M10*0_v31改動與假設!$B$29+M11*0_v31改動與假設!$B$30+M12*0_v31改動與假設!$B$31+M13*0_v31改動與假設!$B$32</f>
        <v>1.00822433879501</v>
      </c>
    </row>
    <row r="16" customFormat="false" ht="15" hidden="false" customHeight="false" outlineLevel="0" collapsed="false">
      <c r="A16" s="20" t="s">
        <v>94</v>
      </c>
      <c r="B16" s="28" t="n">
        <v>1246.2515</v>
      </c>
      <c r="C16" s="28" t="n">
        <v>1496.2731</v>
      </c>
      <c r="D16" s="28" t="n">
        <v>1743.4536</v>
      </c>
      <c r="E16" s="28" t="n">
        <v>1981.6364</v>
      </c>
      <c r="F16" s="28" t="n">
        <v>1988.805</v>
      </c>
      <c r="G16" s="28" t="n">
        <v>1958.0822</v>
      </c>
      <c r="H16" s="28" t="n">
        <v>1877.0168</v>
      </c>
      <c r="I16" s="28" t="n">
        <v>1778.1144</v>
      </c>
      <c r="J16" s="28" t="n">
        <v>1820.4039</v>
      </c>
      <c r="K16" s="28" t="n">
        <v>1770.1362</v>
      </c>
      <c r="L16" s="28" t="n">
        <v>1696.704</v>
      </c>
      <c r="M16" s="28" t="n">
        <v>1632.0277</v>
      </c>
      <c r="O16" s="24" t="s">
        <v>95</v>
      </c>
    </row>
    <row r="17" customFormat="false" ht="15" hidden="false" customHeight="false" outlineLevel="0" collapsed="false">
      <c r="A17" s="25" t="s">
        <v>96</v>
      </c>
      <c r="B17" s="33" t="s">
        <v>21</v>
      </c>
      <c r="C17" s="33" t="n">
        <f aca="false">C16/B16-1</f>
        <v>0.20061889594516</v>
      </c>
      <c r="D17" s="33" t="n">
        <f aca="false">D16/C16-1</f>
        <v>0.165197449583234</v>
      </c>
      <c r="E17" s="33" t="n">
        <f aca="false">E16/D16-1</f>
        <v>0.136615508436818</v>
      </c>
      <c r="F17" s="33" t="n">
        <f aca="false">F16/E16-1</f>
        <v>0.00361751530199994</v>
      </c>
      <c r="G17" s="33" t="n">
        <f aca="false">G16/F16-1</f>
        <v>-0.0154478694492421</v>
      </c>
      <c r="H17" s="33" t="n">
        <f aca="false">H16/G16-1</f>
        <v>-0.041400406990064</v>
      </c>
      <c r="I17" s="33" t="n">
        <f aca="false">I16/H16-1</f>
        <v>-0.0526912705309831</v>
      </c>
      <c r="J17" s="33" t="n">
        <f aca="false">J16/I16-1</f>
        <v>0.0237833403745003</v>
      </c>
      <c r="K17" s="33" t="n">
        <f aca="false">K16/J16-1</f>
        <v>-0.027613487314546</v>
      </c>
      <c r="L17" s="33" t="n">
        <f aca="false">L16/K16-1</f>
        <v>-0.0414839264910801</v>
      </c>
      <c r="M17" s="33" t="n">
        <f aca="false">M16/L16-1</f>
        <v>-0.0381187879559427</v>
      </c>
      <c r="O17" s="22" t="s">
        <v>97</v>
      </c>
    </row>
    <row r="18" customFormat="false" ht="15" hidden="false" customHeight="false" outlineLevel="0" collapsed="false">
      <c r="A18" s="25" t="s">
        <v>98</v>
      </c>
      <c r="B18" s="30" t="n">
        <f aca="false">B15*B16</f>
        <v>767.032907659729</v>
      </c>
      <c r="C18" s="30" t="n">
        <f aca="false">C15*C16</f>
        <v>956.110200869142</v>
      </c>
      <c r="D18" s="30" t="n">
        <f aca="false">D15*D16</f>
        <v>1155.20238494914</v>
      </c>
      <c r="E18" s="30" t="n">
        <f aca="false">E15*E16</f>
        <v>1375.18203115185</v>
      </c>
      <c r="F18" s="30" t="n">
        <f aca="false">F15*F16</f>
        <v>1485.58636875238</v>
      </c>
      <c r="G18" s="30" t="n">
        <f aca="false">G15*G16</f>
        <v>1560.01318389967</v>
      </c>
      <c r="H18" s="30" t="n">
        <f aca="false">H15*H16</f>
        <v>1590.78892470216</v>
      </c>
      <c r="I18" s="30" t="n">
        <f aca="false">I15*I16</f>
        <v>1590.36510112936</v>
      </c>
      <c r="J18" s="30" t="n">
        <f aca="false">J15*J16</f>
        <v>1679.07081572221</v>
      </c>
      <c r="K18" s="30" t="n">
        <f aca="false">K15*K16</f>
        <v>1678.95880332337</v>
      </c>
      <c r="L18" s="30" t="n">
        <f aca="false">L15*L16</f>
        <v>1662.59982363403</v>
      </c>
      <c r="M18" s="30" t="n">
        <f aca="false">M15*M16</f>
        <v>1645.45004872764</v>
      </c>
    </row>
    <row r="19" customFormat="false" ht="15" hidden="false" customHeight="false" outlineLevel="0" collapsed="false">
      <c r="A19" s="32" t="s">
        <v>99</v>
      </c>
      <c r="B19" s="35" t="n">
        <f aca="false">B5*10000*B18/100000000</f>
        <v>91.4300157798767</v>
      </c>
      <c r="C19" s="35" t="n">
        <f aca="false">C5*10000*C18/100000000</f>
        <v>115.300006231372</v>
      </c>
      <c r="D19" s="35" t="n">
        <f aca="false">D5*10000*D18/100000000</f>
        <v>144.099945498555</v>
      </c>
      <c r="E19" s="35" t="n">
        <f aca="false">E5*10000*E18/100000000</f>
        <v>177.450051344757</v>
      </c>
      <c r="F19" s="35" t="n">
        <f aca="false">F5*10000*F18/100000000</f>
        <v>205.100054069953</v>
      </c>
      <c r="G19" s="35" t="n">
        <f aca="false">G5*10000*G18/100000000</f>
        <v>232.129961764271</v>
      </c>
      <c r="H19" s="35" t="n">
        <f aca="false">H5*10000*H18/100000000</f>
        <v>264.580013956463</v>
      </c>
      <c r="I19" s="35" t="n">
        <f aca="false">I5*10000*I18/100000000</f>
        <v>285.550053907777</v>
      </c>
      <c r="J19" s="35" t="n">
        <f aca="false">J5*10000*J18/100000000</f>
        <v>285.609945754348</v>
      </c>
      <c r="K19" s="35" t="n">
        <f aca="false">K5*10000*K18/100000000</f>
        <v>312.790025059143</v>
      </c>
      <c r="L19" s="35" t="n">
        <f aca="false">L5*10000*L18/100000000</f>
        <v>343.409993571608</v>
      </c>
      <c r="M19" s="35" t="n">
        <f aca="false">M5*10000*M18/100000000</f>
        <v>359.859925656734</v>
      </c>
    </row>
    <row r="20" customFormat="false" ht="15" hidden="false" customHeight="false" outlineLevel="0" collapsed="false">
      <c r="A20" s="32" t="s">
        <v>100</v>
      </c>
      <c r="B20" s="36" t="n">
        <f aca="false">0.1142</f>
        <v>0.1142</v>
      </c>
      <c r="C20" s="36" t="n">
        <f aca="false">0.2202</f>
        <v>0.2202</v>
      </c>
      <c r="D20" s="36" t="n">
        <f aca="false">(D14*0_v31改動與假設!$B$27*0_v31改動與假設!$C$27+D9*0_v31改動與假設!$B$28*0_v31改動與假設!$C$28+D10*0_v31改動與假設!$B$29*0_v31改動與假設!$C$29+D11*0_v31改動與假設!$B$30*0_v31改動與假設!$C$30+D12*0_v31改動與假設!$B$31*0_v31改動與假設!$C$31+D13*0_v31改動與假設!$B$32*0_v31改動與假設!$C$32)/D15</f>
        <v>0.290573288529144</v>
      </c>
      <c r="E20" s="36" t="n">
        <f aca="false">(E14*0_v31改動與假設!$B$27*0_v31改動與假設!$C$27+E9*0_v31改動與假設!$B$28*0_v31改動與假設!$C$28+E10*0_v31改動與假設!$B$29*0_v31改動與假設!$C$29+E11*0_v31改動與假設!$B$30*0_v31改動與假設!$C$30+E12*0_v31改動與假設!$B$31*0_v31改動與假設!$C$31+E13*0_v31改動與假設!$B$32*0_v31改動與假設!$C$32)/E15</f>
        <v>0.299707550842865</v>
      </c>
      <c r="F20" s="36" t="n">
        <f aca="false">(F14*0_v31改動與假設!$B$27*0_v31改動與假設!$C$27+F9*0_v31改動與假設!$B$28*0_v31改動與假設!$C$28+F10*0_v31改動與假設!$B$29*0_v31改動與假設!$C$29+F11*0_v31改動與假設!$B$30*0_v31改動與假設!$C$30+F12*0_v31改動與假設!$B$31*0_v31改動與假設!$C$31+F13*0_v31改動與假設!$B$32*0_v31改動與假設!$C$32)/F15</f>
        <v>0.316400589066535</v>
      </c>
      <c r="G20" s="36" t="n">
        <f aca="false">(G14*0_v31改動與假設!$B$27*0_v31改動與假設!$C$27+G9*0_v31改動與假設!$B$28*0_v31改動與假設!$C$28+G10*0_v31改動與假設!$B$29*0_v31改動與假設!$C$29+G11*0_v31改動與假設!$B$30*0_v31改動與假設!$C$30+G12*0_v31改動與假設!$B$31*0_v31改動與假設!$C$31+G13*0_v31改動與假設!$B$32*0_v31改動與假設!$C$32)/G15</f>
        <v>0.330265032253427</v>
      </c>
      <c r="H20" s="36" t="n">
        <f aca="false">(H14*0_v31改動與假設!$B$27*0_v31改動與假設!$C$27+H9*0_v31改動與假設!$B$28*0_v31改動與假設!$C$28+H10*0_v31改動與假設!$B$29*0_v31改動與假設!$C$29+H11*0_v31改動與假設!$B$30*0_v31改動與假設!$C$30+H12*0_v31改動與假設!$B$31*0_v31改動與假設!$C$31+H13*0_v31改動與假設!$B$32*0_v31改動與假設!$C$32)/H15</f>
        <v>0.342413334894975</v>
      </c>
      <c r="I20" s="36" t="n">
        <f aca="false">(I14*0_v31改動與假設!$B$27*0_v31改動與假設!$C$27+I9*0_v31改動與假設!$B$28*0_v31改動與假設!$C$28+I10*0_v31改動與假設!$B$29*0_v31改動與假設!$C$29+I11*0_v31改動與假設!$B$30*0_v31改動與假設!$C$30+I12*0_v31改動與假設!$B$31*0_v31改動與假設!$C$31+I13*0_v31改動與假設!$B$32*0_v31改動與假設!$C$32)/I15</f>
        <v>0.352862493682304</v>
      </c>
      <c r="J20" s="36" t="n">
        <f aca="false">(J14*0_v31改動與假設!$B$27*0_v31改動與假設!$C$27+J9*0_v31改動與假設!$B$28*0_v31改動與假設!$C$28+J10*0_v31改動與假設!$B$29*0_v31改動與假設!$C$29+J11*0_v31改動與假設!$B$30*0_v31改動與假設!$C$30+J12*0_v31改動與假設!$B$31*0_v31改動與假設!$C$31+J13*0_v31改動與假設!$B$32*0_v31改動與假設!$C$32)/J15</f>
        <v>0.358192394524298</v>
      </c>
      <c r="K20" s="36" t="n">
        <f aca="false">(K14*0_v31改動與假設!$B$27*0_v31改動與假設!$C$27+K9*0_v31改動與假設!$B$28*0_v31改動與假設!$C$28+K10*0_v31改動與假設!$B$29*0_v31改動與假設!$C$29+K11*0_v31改動與假設!$B$30*0_v31改動與假設!$C$30+K12*0_v31改動與假設!$B$31*0_v31改動與假設!$C$31+K13*0_v31改動與假設!$B$32*0_v31改動與假設!$C$32)/K15</f>
        <v>0.362339448158474</v>
      </c>
      <c r="L20" s="36" t="n">
        <f aca="false">(L14*0_v31改動與假設!$B$27*0_v31改動與假設!$C$27+L9*0_v31改動與假設!$B$28*0_v31改動與假設!$C$28+L10*0_v31改動與假設!$B$29*0_v31改動與假設!$C$29+L11*0_v31改動與假設!$B$30*0_v31改動與假設!$C$30+L12*0_v31改動與假設!$B$31*0_v31改動與假設!$C$31+L13*0_v31改動與假設!$B$32*0_v31改動與假設!$C$32)/L15</f>
        <v>0.367067343697999</v>
      </c>
      <c r="M20" s="36" t="n">
        <f aca="false">(M14*0_v31改動與假設!$B$27*0_v31改動與假設!$C$27+M9*0_v31改動與假設!$B$28*0_v31改動與假設!$C$28+M10*0_v31改動與假設!$B$29*0_v31改動與假設!$C$29+M11*0_v31改動與假設!$B$30*0_v31改動與假設!$C$30+M12*0_v31改動與假設!$B$31*0_v31改動與假設!$C$31+M13*0_v31改動與假設!$B$32*0_v31改動與假設!$C$32)/M15</f>
        <v>0.370874366905377</v>
      </c>
      <c r="O20" s="22" t="s">
        <v>101</v>
      </c>
    </row>
    <row r="21" customFormat="false" ht="15" hidden="false" customHeight="false" outlineLevel="0" collapsed="false">
      <c r="A21" s="32" t="s">
        <v>102</v>
      </c>
    </row>
    <row r="22" customFormat="false" ht="15" hidden="false" customHeight="false" outlineLevel="0" collapsed="false">
      <c r="A22" s="20" t="s">
        <v>103</v>
      </c>
      <c r="B22" s="37" t="n">
        <f aca="false">(B10*0_v31改動與假設!$B$29+B11*0_v31改動與假設!$B$30+B12*0_v31改動與假設!$B$31+B13*0_v31改動與假設!$B$32)/B15</f>
        <v>0.242000347336156</v>
      </c>
      <c r="C22" s="37" t="n">
        <f aca="false">(C10*0_v31改動與假設!$B$29+C11*0_v31改動與假設!$B$30+C12*0_v31改動與假設!$B$31+C13*0_v31改動與假設!$B$32)/C15</f>
        <v>0.300000126520745</v>
      </c>
      <c r="D22" s="37" t="n">
        <f aca="false">(D10*0_v31改動與假設!$B$29+D11*0_v31改動與假設!$B$30+D12*0_v31改動與假設!$B$31+D13*0_v31改動與假設!$B$32)/D15</f>
        <v>0.339999405691705</v>
      </c>
      <c r="E22" s="37" t="n">
        <f aca="false">(E10*0_v31改動與假設!$B$29+E11*0_v31改動與假設!$B$30+E12*0_v31改動與假設!$B$31+E13*0_v31改動與假設!$B$32)/E15</f>
        <v>0.400000403296981</v>
      </c>
      <c r="F22" s="37" t="n">
        <f aca="false">(F10*0_v31改動與假設!$B$29+F11*0_v31改動與假設!$B$30+F12*0_v31改動與假設!$B$31+F13*0_v31改動與假設!$B$32)/F15</f>
        <v>0.440000372768804</v>
      </c>
      <c r="G22" s="37" t="n">
        <f aca="false">(G10*0_v31改動與假設!$B$29+G11*0_v31改動與假設!$B$30+G12*0_v31改動與假設!$B$31+G13*0_v31改動與假設!$B$32)/G15</f>
        <v>0.46999975694608</v>
      </c>
      <c r="H22" s="37" t="n">
        <f aca="false">(H10*0_v31改動與假設!$B$29+H11*0_v31改動與假設!$B$30+H12*0_v31改動與假設!$B$31+H13*0_v31改動與假設!$B$32)/H15</f>
        <v>0.500000101176798</v>
      </c>
      <c r="I22" s="37" t="n">
        <f aca="false">(I10*0_v31改動與假設!$B$29+I11*0_v31改動與假設!$B$30+I12*0_v31改動與假設!$B$31+I13*0_v31改動與假設!$B$32)/I15</f>
        <v>0.520000227016243</v>
      </c>
      <c r="J22" s="37" t="n">
        <f aca="false">(J10*0_v31改動與假設!$B$29+J11*0_v31改動與假設!$B$30+J12*0_v31改動與假設!$B$31+J13*0_v31改動與假設!$B$32)/J15</f>
        <v>0.539999712342934</v>
      </c>
      <c r="K22" s="37" t="n">
        <f aca="false">(K10*0_v31改動與假設!$B$29+K11*0_v31改動與假設!$B$30+K12*0_v31改動與假設!$B$31+K13*0_v31改動與假設!$B$32)/K15</f>
        <v>0.560000117143753</v>
      </c>
      <c r="L22" s="37" t="n">
        <f aca="false">(L10*0_v31改動與假設!$B$29+L11*0_v31改動與假設!$B$30+L12*0_v31改動與假設!$B$31+L13*0_v31改動與假設!$B$32)/L15</f>
        <v>0.579999948613889</v>
      </c>
      <c r="M22" s="37" t="n">
        <f aca="false">(M10*0_v31改動與假設!$B$29+M11*0_v31改動與假設!$B$30+M12*0_v31改動與假設!$B$31+M13*0_v31改動與假設!$B$32)/M15</f>
        <v>0.599999699267342</v>
      </c>
    </row>
    <row r="23" customFormat="false" ht="15" hidden="false" customHeight="false" outlineLevel="0" collapsed="false">
      <c r="A23" s="20" t="s">
        <v>104</v>
      </c>
      <c r="B23" s="37" t="n">
        <f aca="false">B13*0_v31改動與假設!$B$32/B15</f>
        <v>0</v>
      </c>
      <c r="C23" s="37" t="n">
        <f aca="false">C13*0_v31改動與假設!$B$32/C15</f>
        <v>0</v>
      </c>
      <c r="D23" s="37" t="n">
        <f aca="false">D13*0_v31改動與假設!$B$32/D15</f>
        <v>0</v>
      </c>
      <c r="E23" s="37" t="n">
        <f aca="false">E13*0_v31改動與假設!$B$32/E15</f>
        <v>0</v>
      </c>
      <c r="F23" s="37" t="n">
        <f aca="false">F13*0_v31改動與假設!$B$32/F15</f>
        <v>0.0856789767846989</v>
      </c>
      <c r="G23" s="37" t="n">
        <f aca="false">G13*0_v31改動與假設!$B$32/G15</f>
        <v>0.160661797083966</v>
      </c>
      <c r="H23" s="37" t="n">
        <f aca="false">H13*0_v31改動與假設!$B$32/H15</f>
        <v>0.226546224960345</v>
      </c>
      <c r="I23" s="37" t="n">
        <f aca="false">I13*0_v31改動與假設!$B$32/I15</f>
        <v>0.286221878282384</v>
      </c>
      <c r="J23" s="37" t="n">
        <f aca="false">J13*0_v31改動與假設!$B$32/J15</f>
        <v>0.303568549478218</v>
      </c>
      <c r="K23" s="37" t="n">
        <f aca="false">K13*0_v31改動與假設!$B$32/K15</f>
        <v>0.320508998633458</v>
      </c>
      <c r="L23" s="37" t="n">
        <f aca="false">L13*0_v31改動與假設!$B$32/L15</f>
        <v>0.342892219700782</v>
      </c>
      <c r="M23" s="37" t="n">
        <f aca="false">M13*0_v31改動與假設!$B$32/M15</f>
        <v>0.357063389711717</v>
      </c>
    </row>
    <row r="24" customFormat="false" ht="15" hidden="false" customHeight="false" outlineLevel="0" collapsed="false">
      <c r="A24" s="25" t="s">
        <v>105</v>
      </c>
      <c r="B24" s="38" t="n">
        <v>0.242</v>
      </c>
      <c r="C24" s="38" t="n">
        <v>0.3</v>
      </c>
      <c r="D24" s="38" t="n">
        <v>0.34</v>
      </c>
      <c r="E24" s="38" t="n">
        <v>0.4</v>
      </c>
      <c r="F24" s="38" t="n">
        <v>0.44</v>
      </c>
      <c r="G24" s="38" t="n">
        <v>0.47</v>
      </c>
      <c r="H24" s="38" t="n">
        <v>0.5</v>
      </c>
      <c r="I24" s="38" t="n">
        <v>0.52</v>
      </c>
      <c r="J24" s="38" t="n">
        <v>0.54</v>
      </c>
      <c r="K24" s="38" t="n">
        <v>0.56</v>
      </c>
      <c r="L24" s="38" t="n">
        <v>0.58</v>
      </c>
      <c r="M24" s="38" t="n">
        <v>0.6</v>
      </c>
    </row>
    <row r="25" customFormat="false" ht="15" hidden="false" customHeight="false" outlineLevel="0" collapsed="false">
      <c r="A25" s="25" t="s">
        <v>106</v>
      </c>
      <c r="B25" s="39" t="n">
        <v>91.43</v>
      </c>
      <c r="C25" s="39" t="n">
        <v>115.3</v>
      </c>
      <c r="D25" s="39" t="n">
        <v>144.1</v>
      </c>
      <c r="E25" s="39" t="n">
        <v>177.45</v>
      </c>
      <c r="F25" s="39" t="n">
        <v>205.1</v>
      </c>
      <c r="G25" s="39" t="n">
        <v>232.13</v>
      </c>
      <c r="H25" s="39" t="n">
        <v>264.58</v>
      </c>
      <c r="I25" s="39" t="n">
        <v>285.55</v>
      </c>
      <c r="J25" s="39" t="n">
        <v>285.61</v>
      </c>
      <c r="K25" s="39" t="n">
        <v>312.79</v>
      </c>
      <c r="L25" s="39" t="n">
        <v>343.41</v>
      </c>
      <c r="M25" s="39" t="n">
        <v>359.86</v>
      </c>
    </row>
    <row r="26" customFormat="false" ht="15" hidden="false" customHeight="false" outlineLevel="0" collapsed="false">
      <c r="A26" s="25" t="s">
        <v>107</v>
      </c>
      <c r="B26" s="40" t="n">
        <f aca="false">B22-B24</f>
        <v>3.47336155864797E-007</v>
      </c>
      <c r="C26" s="40" t="n">
        <f aca="false">C22-C24</f>
        <v>1.26520744547776E-007</v>
      </c>
      <c r="D26" s="40" t="n">
        <f aca="false">D22-D24</f>
        <v>-5.94308294687984E-007</v>
      </c>
      <c r="E26" s="40" t="n">
        <f aca="false">E22-E24</f>
        <v>4.03296980699963E-007</v>
      </c>
      <c r="F26" s="40" t="n">
        <f aca="false">F22-F24</f>
        <v>3.72768803602597E-007</v>
      </c>
      <c r="G26" s="40" t="n">
        <f aca="false">G22-G24</f>
        <v>-2.43053920101488E-007</v>
      </c>
      <c r="H26" s="40" t="n">
        <f aca="false">H22-H24</f>
        <v>1.01176798161795E-007</v>
      </c>
      <c r="I26" s="40" t="n">
        <f aca="false">I22-I24</f>
        <v>2.27016242471123E-007</v>
      </c>
      <c r="J26" s="40" t="n">
        <f aca="false">J22-J24</f>
        <v>-2.87657065833891E-007</v>
      </c>
      <c r="K26" s="40" t="n">
        <f aca="false">K22-K24</f>
        <v>1.17143753142201E-007</v>
      </c>
      <c r="L26" s="40" t="n">
        <f aca="false">L22-L24</f>
        <v>-5.13861114770364E-008</v>
      </c>
      <c r="M26" s="40" t="n">
        <f aca="false">M22-M24</f>
        <v>-3.00732657665392E-007</v>
      </c>
    </row>
    <row r="27" customFormat="false" ht="15" hidden="false" customHeight="false" outlineLevel="0" collapsed="false">
      <c r="A27" s="25" t="s">
        <v>108</v>
      </c>
      <c r="B27" s="41" t="n">
        <f aca="false">B19-B25</f>
        <v>1.57798766622363E-005</v>
      </c>
      <c r="C27" s="41" t="n">
        <f aca="false">C19-C25</f>
        <v>6.23137223954018E-006</v>
      </c>
      <c r="D27" s="41" t="n">
        <f aca="false">D19-D25</f>
        <v>-5.4501444736843E-005</v>
      </c>
      <c r="E27" s="41" t="n">
        <f aca="false">E19-E25</f>
        <v>5.13447567414005E-005</v>
      </c>
      <c r="F27" s="41" t="n">
        <f aca="false">F19-F25</f>
        <v>5.40699532791678E-005</v>
      </c>
      <c r="G27" s="41" t="n">
        <f aca="false">G19-G25</f>
        <v>-3.82357294483882E-005</v>
      </c>
      <c r="H27" s="41" t="n">
        <f aca="false">H19-H25</f>
        <v>1.39564630785571E-005</v>
      </c>
      <c r="I27" s="41" t="n">
        <f aca="false">I19-I25</f>
        <v>5.39077768735297E-005</v>
      </c>
      <c r="J27" s="41" t="n">
        <f aca="false">J19-J25</f>
        <v>-5.42456518246581E-005</v>
      </c>
      <c r="K27" s="41" t="n">
        <f aca="false">K19-K25</f>
        <v>2.50591428425651E-005</v>
      </c>
      <c r="L27" s="41" t="n">
        <f aca="false">L19-L25</f>
        <v>-6.42839188458311E-006</v>
      </c>
      <c r="M27" s="41" t="n">
        <f aca="false">M19-M25</f>
        <v>-7.43432660215149E-005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0" min="2" style="0" width="10.51"/>
  </cols>
  <sheetData>
    <row r="1" customFormat="false" ht="15" hidden="false" customHeight="false" outlineLevel="0" collapsed="false">
      <c r="A1" s="3" t="s">
        <v>109</v>
      </c>
      <c r="B1" s="27" t="s">
        <v>110</v>
      </c>
      <c r="C1" s="27" t="s">
        <v>111</v>
      </c>
      <c r="D1" s="27" t="s">
        <v>112</v>
      </c>
      <c r="E1" s="27" t="s">
        <v>113</v>
      </c>
      <c r="F1" s="27" t="s">
        <v>114</v>
      </c>
      <c r="G1" s="27" t="s">
        <v>115</v>
      </c>
      <c r="H1" s="27" t="s">
        <v>116</v>
      </c>
      <c r="I1" s="27" t="s">
        <v>117</v>
      </c>
      <c r="J1" s="27" t="s">
        <v>118</v>
      </c>
      <c r="K1" s="27" t="s">
        <v>119</v>
      </c>
      <c r="L1" s="27" t="s">
        <v>120</v>
      </c>
      <c r="M1" s="27" t="s">
        <v>121</v>
      </c>
      <c r="N1" s="27" t="s">
        <v>122</v>
      </c>
      <c r="O1" s="27" t="s">
        <v>123</v>
      </c>
      <c r="P1" s="27" t="s">
        <v>124</v>
      </c>
      <c r="Q1" s="27" t="s">
        <v>125</v>
      </c>
      <c r="R1" s="27" t="s">
        <v>126</v>
      </c>
      <c r="S1" s="27" t="s">
        <v>127</v>
      </c>
      <c r="T1" s="27" t="s">
        <v>128</v>
      </c>
      <c r="U1" s="27" t="s">
        <v>129</v>
      </c>
      <c r="V1" s="27" t="s">
        <v>130</v>
      </c>
      <c r="W1" s="27" t="s">
        <v>131</v>
      </c>
      <c r="X1" s="27" t="s">
        <v>132</v>
      </c>
      <c r="Y1" s="27" t="s">
        <v>133</v>
      </c>
      <c r="Z1" s="27" t="s">
        <v>134</v>
      </c>
      <c r="AA1" s="27" t="s">
        <v>135</v>
      </c>
      <c r="AB1" s="27" t="s">
        <v>136</v>
      </c>
      <c r="AC1" s="27" t="s">
        <v>137</v>
      </c>
      <c r="AD1" s="27" t="s">
        <v>138</v>
      </c>
      <c r="AE1" s="27" t="s">
        <v>139</v>
      </c>
      <c r="AF1" s="27" t="s">
        <v>140</v>
      </c>
      <c r="AG1" s="27" t="s">
        <v>141</v>
      </c>
      <c r="AH1" s="27" t="s">
        <v>142</v>
      </c>
      <c r="AI1" s="27" t="s">
        <v>143</v>
      </c>
      <c r="AJ1" s="27" t="s">
        <v>144</v>
      </c>
      <c r="AK1" s="27" t="s">
        <v>145</v>
      </c>
      <c r="AL1" s="27" t="s">
        <v>146</v>
      </c>
      <c r="AM1" s="27" t="s">
        <v>147</v>
      </c>
      <c r="AN1" s="27" t="s">
        <v>148</v>
      </c>
    </row>
    <row r="2" customFormat="false" ht="15" hidden="false" customHeight="false" outlineLevel="0" collapsed="false">
      <c r="A2" s="25" t="s">
        <v>149</v>
      </c>
      <c r="B2" s="42" t="n">
        <v>0.346019</v>
      </c>
      <c r="C2" s="42" t="n">
        <v>0.285433</v>
      </c>
      <c r="D2" s="42" t="n">
        <v>0.368548</v>
      </c>
      <c r="E2" s="42" t="n">
        <v>0.304683</v>
      </c>
      <c r="F2" s="42" t="n">
        <v>0.329835</v>
      </c>
      <c r="G2" s="42" t="n">
        <v>0.365481</v>
      </c>
      <c r="H2" s="42" t="n">
        <v>0.329563</v>
      </c>
      <c r="I2" s="42" t="n">
        <v>0.326718</v>
      </c>
      <c r="J2" s="42" t="n">
        <v>0.34372</v>
      </c>
      <c r="K2" s="42" t="n">
        <v>0.305382</v>
      </c>
      <c r="L2" s="42" t="n">
        <v>0.33508</v>
      </c>
      <c r="M2" s="42" t="n">
        <v>0.359538</v>
      </c>
      <c r="N2" s="42" t="n">
        <v>0.332244</v>
      </c>
      <c r="O2" s="42" t="n">
        <v>0.284843</v>
      </c>
      <c r="P2" s="42" t="n">
        <v>0.382912</v>
      </c>
      <c r="Q2" s="42" t="n">
        <v>0.313725</v>
      </c>
      <c r="R2" s="42" t="n">
        <v>0.334281</v>
      </c>
      <c r="S2" s="42" t="n">
        <v>0.351993</v>
      </c>
      <c r="T2" s="42" t="n">
        <v>0.319663</v>
      </c>
      <c r="U2" s="42" t="n">
        <v>0.334291</v>
      </c>
      <c r="V2" s="42" t="n">
        <v>0.346046</v>
      </c>
      <c r="W2" s="42" t="n">
        <v>0.321978</v>
      </c>
      <c r="X2" s="42" t="n">
        <v>0.332831</v>
      </c>
      <c r="Y2" s="42" t="n">
        <v>0.345191</v>
      </c>
      <c r="Z2" s="42" t="n">
        <v>0.333813</v>
      </c>
      <c r="AA2" s="42" t="n">
        <v>0.284646</v>
      </c>
      <c r="AB2" s="42" t="n">
        <v>0.381542</v>
      </c>
      <c r="AC2" s="42" t="n">
        <v>0.318993</v>
      </c>
      <c r="AD2" s="42" t="n">
        <v>0.335803</v>
      </c>
      <c r="AE2" s="42" t="n">
        <v>0.345203</v>
      </c>
      <c r="AF2" s="42" t="n">
        <v>0.328951</v>
      </c>
      <c r="AG2" s="42" t="n">
        <v>0.333792</v>
      </c>
      <c r="AH2" s="42" t="n">
        <v>0.337258</v>
      </c>
      <c r="AI2" s="42" t="n">
        <v>0.329814</v>
      </c>
      <c r="AJ2" s="42" t="n">
        <v>0.333388</v>
      </c>
      <c r="AK2" s="42" t="n">
        <v>0.336798</v>
      </c>
      <c r="AL2" s="43"/>
      <c r="AM2" s="43"/>
      <c r="AN2" s="43"/>
    </row>
    <row r="3" customFormat="false" ht="15" hidden="false" customHeight="false" outlineLevel="0" collapsed="false">
      <c r="A3" s="32" t="s">
        <v>150</v>
      </c>
      <c r="B3" s="44" t="n">
        <f aca="false">1_營收驅動!B19*B2</f>
        <v>31.6365226301371</v>
      </c>
      <c r="C3" s="44" t="n">
        <f aca="false">1_營收驅動!B19*C2</f>
        <v>26.0971436940975</v>
      </c>
      <c r="D3" s="44" t="n">
        <f aca="false">1_營收驅動!B19*D2</f>
        <v>33.696349455642</v>
      </c>
      <c r="E3" s="44" t="n">
        <f aca="false">1_營收驅動!C19*E2</f>
        <v>35.1299517985932</v>
      </c>
      <c r="F3" s="44" t="n">
        <f aca="false">1_營收驅動!C19*F2</f>
        <v>38.0299775553247</v>
      </c>
      <c r="G3" s="44" t="n">
        <f aca="false">1_營收驅動!C19*G2</f>
        <v>42.1399615774482</v>
      </c>
      <c r="H3" s="44" t="n">
        <f aca="false">1_營收驅動!D19*H2</f>
        <v>47.4900103383404</v>
      </c>
      <c r="I3" s="44" t="n">
        <f aca="false">1_營收驅動!D19*I2</f>
        <v>47.080045993397</v>
      </c>
      <c r="J3" s="44" t="n">
        <f aca="false">1_營收驅動!D19*J2</f>
        <v>49.5300332667634</v>
      </c>
      <c r="K3" s="44" t="n">
        <f aca="false">1_營收驅動!E19*K2</f>
        <v>54.1900515797645</v>
      </c>
      <c r="L3" s="44" t="n">
        <f aca="false">1_營收驅動!E19*L2</f>
        <v>59.4599632046011</v>
      </c>
      <c r="M3" s="44" t="n">
        <f aca="false">1_營收驅動!E19*M2</f>
        <v>63.8000365603912</v>
      </c>
      <c r="N3" s="44" t="n">
        <f aca="false">1_營收驅動!F19*N2</f>
        <v>68.1432623644176</v>
      </c>
      <c r="O3" s="44" t="n">
        <f aca="false">1_營收驅動!F19*O2</f>
        <v>58.4213147014477</v>
      </c>
      <c r="P3" s="44" t="n">
        <f aca="false">1_營收驅動!F19*P2</f>
        <v>78.535271904034</v>
      </c>
      <c r="Q3" s="44" t="n">
        <f aca="false">1_營收驅動!G19*Q2</f>
        <v>72.8249722544958</v>
      </c>
      <c r="R3" s="44" t="n">
        <f aca="false">1_營收驅動!G19*R2</f>
        <v>77.5966357485221</v>
      </c>
      <c r="S3" s="44" t="n">
        <f aca="false">1_營收驅動!G19*S2</f>
        <v>81.7081216312909</v>
      </c>
      <c r="T3" s="44" t="n">
        <f aca="false">1_營收驅動!H19*T2</f>
        <v>84.5764410013648</v>
      </c>
      <c r="U3" s="44" t="n">
        <f aca="false">1_營收驅動!H19*U2</f>
        <v>88.44671744552</v>
      </c>
      <c r="V3" s="44" t="n">
        <f aca="false">1_營收驅動!H19*V2</f>
        <v>91.5568555095782</v>
      </c>
      <c r="W3" s="44" t="n">
        <f aca="false">1_營收驅動!I19*W2</f>
        <v>91.9408352571182</v>
      </c>
      <c r="X3" s="44" t="n">
        <f aca="false">1_營收驅動!I19*X2</f>
        <v>95.0399099921793</v>
      </c>
      <c r="Y3" s="44" t="n">
        <f aca="false">1_營收驅動!I19*Y2</f>
        <v>98.5693086584794</v>
      </c>
      <c r="Z3" s="44" t="n">
        <f aca="false">1_營收驅動!J19*Z2</f>
        <v>95.3403128220962</v>
      </c>
      <c r="AA3" s="44" t="n">
        <f aca="false">1_營收驅動!J19*AA2</f>
        <v>81.2977286191922</v>
      </c>
      <c r="AB3" s="44" t="n">
        <f aca="false">1_營收驅動!J19*AB2</f>
        <v>108.972189923006</v>
      </c>
      <c r="AC3" s="44" t="n">
        <f aca="false">1_營收驅動!K19*AC2</f>
        <v>99.7778284636912</v>
      </c>
      <c r="AD3" s="44" t="n">
        <f aca="false">1_營收驅動!K19*AD2</f>
        <v>105.035828784935</v>
      </c>
      <c r="AE3" s="44" t="n">
        <f aca="false">1_營收驅動!K19*AE2</f>
        <v>107.976055020491</v>
      </c>
      <c r="AF3" s="44" t="n">
        <f aca="false">1_營收驅動!L19*AF2</f>
        <v>112.965060795374</v>
      </c>
      <c r="AG3" s="44" t="n">
        <f aca="false">1_營收驅動!L19*AG2</f>
        <v>114.627508574254</v>
      </c>
      <c r="AH3" s="44" t="n">
        <f aca="false">1_營收驅動!L19*AH2</f>
        <v>115.817767611973</v>
      </c>
      <c r="AI3" s="44" t="n">
        <f aca="false">1_營收驅動!M19*AI2</f>
        <v>118.68684152055</v>
      </c>
      <c r="AJ3" s="44" t="n">
        <f aca="false">1_營收驅動!M19*AJ2</f>
        <v>119.972980894847</v>
      </c>
      <c r="AK3" s="44" t="n">
        <f aca="false">1_營收驅動!M19*AK2</f>
        <v>121.200103241337</v>
      </c>
      <c r="AL3" s="45" t="n">
        <f aca="false">SUM(B3:M3)</f>
        <v>528.2800476545</v>
      </c>
      <c r="AM3" s="45" t="n">
        <f aca="false">SUM(N3:Y3)</f>
        <v>987.359646468448</v>
      </c>
      <c r="AN3" s="45" t="n">
        <f aca="false">SUM(Z3:AK3)</f>
        <v>1301.67020627175</v>
      </c>
    </row>
    <row r="4" customFormat="false" ht="15" hidden="false" customHeight="false" outlineLevel="0" collapsed="false">
      <c r="A4" s="25" t="s">
        <v>151</v>
      </c>
      <c r="B4" s="46" t="n">
        <f aca="false">1_營收驅動!B20</f>
        <v>0.1142</v>
      </c>
      <c r="C4" s="46" t="n">
        <f aca="false">1_營收驅動!B20</f>
        <v>0.1142</v>
      </c>
      <c r="D4" s="46" t="n">
        <f aca="false">1_營收驅動!B20</f>
        <v>0.1142</v>
      </c>
      <c r="E4" s="46" t="n">
        <f aca="false">1_營收驅動!C20</f>
        <v>0.2202</v>
      </c>
      <c r="F4" s="46" t="n">
        <f aca="false">1_營收驅動!C20</f>
        <v>0.2202</v>
      </c>
      <c r="G4" s="46" t="n">
        <f aca="false">1_營收驅動!C20</f>
        <v>0.2202</v>
      </c>
      <c r="H4" s="46" t="n">
        <f aca="false">1_營收驅動!D20</f>
        <v>0.290573288529144</v>
      </c>
      <c r="I4" s="46" t="n">
        <f aca="false">1_營收驅動!D20</f>
        <v>0.290573288529144</v>
      </c>
      <c r="J4" s="46" t="n">
        <f aca="false">1_營收驅動!D20</f>
        <v>0.290573288529144</v>
      </c>
      <c r="K4" s="46" t="n">
        <f aca="false">1_營收驅動!E20</f>
        <v>0.299707550842865</v>
      </c>
      <c r="L4" s="46" t="n">
        <f aca="false">1_營收驅動!E20</f>
        <v>0.299707550842865</v>
      </c>
      <c r="M4" s="46" t="n">
        <f aca="false">1_營收驅動!E20</f>
        <v>0.299707550842865</v>
      </c>
      <c r="N4" s="46" t="n">
        <f aca="false">1_營收驅動!F20</f>
        <v>0.316400589066535</v>
      </c>
      <c r="O4" s="46" t="n">
        <f aca="false">1_營收驅動!F20</f>
        <v>0.316400589066535</v>
      </c>
      <c r="P4" s="46" t="n">
        <f aca="false">1_營收驅動!F20</f>
        <v>0.316400589066535</v>
      </c>
      <c r="Q4" s="46" t="n">
        <f aca="false">1_營收驅動!G20</f>
        <v>0.330265032253427</v>
      </c>
      <c r="R4" s="46" t="n">
        <f aca="false">1_營收驅動!G20</f>
        <v>0.330265032253427</v>
      </c>
      <c r="S4" s="46" t="n">
        <f aca="false">1_營收驅動!G20</f>
        <v>0.330265032253427</v>
      </c>
      <c r="T4" s="46" t="n">
        <f aca="false">1_營收驅動!H20</f>
        <v>0.342413334894975</v>
      </c>
      <c r="U4" s="46" t="n">
        <f aca="false">1_營收驅動!H20</f>
        <v>0.342413334894975</v>
      </c>
      <c r="V4" s="46" t="n">
        <f aca="false">1_營收驅動!H20</f>
        <v>0.342413334894975</v>
      </c>
      <c r="W4" s="46" t="n">
        <f aca="false">1_營收驅動!I20</f>
        <v>0.352862493682304</v>
      </c>
      <c r="X4" s="46" t="n">
        <f aca="false">1_營收驅動!I20</f>
        <v>0.352862493682304</v>
      </c>
      <c r="Y4" s="46" t="n">
        <f aca="false">1_營收驅動!I20</f>
        <v>0.352862493682304</v>
      </c>
      <c r="Z4" s="46" t="n">
        <f aca="false">1_營收驅動!J20</f>
        <v>0.358192394524298</v>
      </c>
      <c r="AA4" s="46" t="n">
        <f aca="false">1_營收驅動!J20</f>
        <v>0.358192394524298</v>
      </c>
      <c r="AB4" s="46" t="n">
        <f aca="false">1_營收驅動!J20</f>
        <v>0.358192394524298</v>
      </c>
      <c r="AC4" s="46" t="n">
        <f aca="false">1_營收驅動!K20</f>
        <v>0.362339448158474</v>
      </c>
      <c r="AD4" s="46" t="n">
        <f aca="false">1_營收驅動!K20</f>
        <v>0.362339448158474</v>
      </c>
      <c r="AE4" s="46" t="n">
        <f aca="false">1_營收驅動!K20</f>
        <v>0.362339448158474</v>
      </c>
      <c r="AF4" s="46" t="n">
        <f aca="false">1_營收驅動!L20</f>
        <v>0.367067343697999</v>
      </c>
      <c r="AG4" s="46" t="n">
        <f aca="false">1_營收驅動!L20</f>
        <v>0.367067343697999</v>
      </c>
      <c r="AH4" s="46" t="n">
        <f aca="false">1_營收驅動!L20</f>
        <v>0.367067343697999</v>
      </c>
      <c r="AI4" s="46" t="n">
        <f aca="false">1_營收驅動!M20</f>
        <v>0.370874366905377</v>
      </c>
      <c r="AJ4" s="46" t="n">
        <f aca="false">1_營收驅動!M20</f>
        <v>0.370874366905377</v>
      </c>
      <c r="AK4" s="46" t="n">
        <f aca="false">1_營收驅動!M20</f>
        <v>0.370874366905377</v>
      </c>
      <c r="AL4" s="47" t="n">
        <f aca="false">AL5/AL3</f>
        <v>0.247757040160273</v>
      </c>
      <c r="AM4" s="47" t="n">
        <f aca="false">AM5/AM3</f>
        <v>0.337175694677565</v>
      </c>
      <c r="AN4" s="47" t="n">
        <f aca="false">AN5/AN3</f>
        <v>0.365036400475073</v>
      </c>
    </row>
    <row r="5" customFormat="false" ht="15" hidden="false" customHeight="false" outlineLevel="0" collapsed="false">
      <c r="A5" s="25" t="s">
        <v>152</v>
      </c>
      <c r="B5" s="48" t="n">
        <f aca="false">B3*B4</f>
        <v>3.61289088436166</v>
      </c>
      <c r="C5" s="48" t="n">
        <f aca="false">C3*C4</f>
        <v>2.98029380986594</v>
      </c>
      <c r="D5" s="48" t="n">
        <f aca="false">D3*D4</f>
        <v>3.84812310783431</v>
      </c>
      <c r="E5" s="48" t="n">
        <f aca="false">E3*E4</f>
        <v>7.73561538605022</v>
      </c>
      <c r="F5" s="48" t="n">
        <f aca="false">F3*F4</f>
        <v>8.37420105768249</v>
      </c>
      <c r="G5" s="48" t="n">
        <f aca="false">G3*G4</f>
        <v>9.27921953935408</v>
      </c>
      <c r="H5" s="48" t="n">
        <f aca="false">H3*H4</f>
        <v>13.7993284762946</v>
      </c>
      <c r="I5" s="48" t="n">
        <f aca="false">I3*I4</f>
        <v>13.6802037884047</v>
      </c>
      <c r="J5" s="48" t="n">
        <f aca="false">J3*J4</f>
        <v>14.3921046472813</v>
      </c>
      <c r="K5" s="48" t="n">
        <f aca="false">K3*K4</f>
        <v>16.2411676390197</v>
      </c>
      <c r="L5" s="48" t="n">
        <f aca="false">L3*L4</f>
        <v>17.8205999452579</v>
      </c>
      <c r="M5" s="48" t="n">
        <f aca="false">M3*M4</f>
        <v>19.1213527012001</v>
      </c>
      <c r="N5" s="48" t="n">
        <f aca="false">N3*N4</f>
        <v>21.5605683530172</v>
      </c>
      <c r="O5" s="48" t="n">
        <f aca="false">O3*O4</f>
        <v>18.4845383855795</v>
      </c>
      <c r="P5" s="48" t="n">
        <f aca="false">P3*P4</f>
        <v>24.8486062929369</v>
      </c>
      <c r="Q5" s="48" t="n">
        <f aca="false">Q3*Q4</f>
        <v>24.051541810486</v>
      </c>
      <c r="R5" s="48" t="n">
        <f aca="false">R3*R4</f>
        <v>25.6274554082431</v>
      </c>
      <c r="S5" s="48" t="n">
        <f aca="false">S3*S4</f>
        <v>26.9853354259252</v>
      </c>
      <c r="T5" s="48" t="n">
        <f aca="false">T3*T4</f>
        <v>28.9601012168255</v>
      </c>
      <c r="U5" s="48" t="n">
        <f aca="false">U3*U4</f>
        <v>30.2853354810341</v>
      </c>
      <c r="V5" s="48" t="n">
        <f aca="false">V3*V4</f>
        <v>31.3502882275321</v>
      </c>
      <c r="W5" s="48" t="n">
        <f aca="false">W3*W4</f>
        <v>32.4424724000606</v>
      </c>
      <c r="X5" s="48" t="n">
        <f aca="false">X3*X4</f>
        <v>33.5360196391821</v>
      </c>
      <c r="Y5" s="48" t="n">
        <f aca="false">Y3*Y4</f>
        <v>34.7814120537718</v>
      </c>
      <c r="Z5" s="48" t="n">
        <f aca="false">Z3*Z4</f>
        <v>34.1501749444423</v>
      </c>
      <c r="AA5" s="48" t="n">
        <f aca="false">AA3*AA4</f>
        <v>29.120228083495</v>
      </c>
      <c r="AB5" s="48" t="n">
        <f aca="false">AB3*AB4</f>
        <v>39.0330096450779</v>
      </c>
      <c r="AC5" s="48" t="n">
        <f aca="false">AC3*AC4</f>
        <v>36.1534433039847</v>
      </c>
      <c r="AD5" s="48" t="n">
        <f aca="false">AD3*AD4</f>
        <v>38.0586242388014</v>
      </c>
      <c r="AE5" s="48" t="n">
        <f aca="false">AE3*AE4</f>
        <v>39.1239841904539</v>
      </c>
      <c r="AF5" s="48" t="n">
        <f aca="false">AF3*AF4</f>
        <v>41.465784796841</v>
      </c>
      <c r="AG5" s="48" t="n">
        <f aca="false">AG3*AG4</f>
        <v>42.0760150870711</v>
      </c>
      <c r="AH5" s="48" t="n">
        <f aca="false">AH3*AH4</f>
        <v>42.5129203103593</v>
      </c>
      <c r="AI5" s="48" t="n">
        <f aca="false">AI3*AI4</f>
        <v>44.0179072089329</v>
      </c>
      <c r="AJ5" s="48" t="n">
        <f aca="false">AJ3*AJ4</f>
        <v>44.4949033351274</v>
      </c>
      <c r="AK5" s="48" t="n">
        <f aca="false">AK3*AK4</f>
        <v>44.9500115584971</v>
      </c>
      <c r="AL5" s="45" t="n">
        <f aca="false">SUM(B5:M5)</f>
        <v>130.885100982607</v>
      </c>
      <c r="AM5" s="45" t="n">
        <f aca="false">SUM(N5:Y5)</f>
        <v>332.913674694594</v>
      </c>
      <c r="AN5" s="45" t="n">
        <f aca="false">SUM(Z5:AK5)</f>
        <v>475.157006703084</v>
      </c>
    </row>
    <row r="6" customFormat="false" ht="15" hidden="false" customHeight="false" outlineLevel="0" collapsed="false">
      <c r="A6" s="25" t="s">
        <v>153</v>
      </c>
      <c r="B6" s="29" t="n">
        <v>0.0678</v>
      </c>
      <c r="C6" s="29" t="n">
        <v>0.0678</v>
      </c>
      <c r="D6" s="29" t="n">
        <v>0.0678</v>
      </c>
      <c r="E6" s="29" t="n">
        <v>0.0599</v>
      </c>
      <c r="F6" s="29" t="n">
        <v>0.0599</v>
      </c>
      <c r="G6" s="29" t="n">
        <v>0.0599</v>
      </c>
      <c r="H6" s="29" t="n">
        <v>0.0555</v>
      </c>
      <c r="I6" s="29" t="n">
        <v>0.0555</v>
      </c>
      <c r="J6" s="29" t="n">
        <v>0.0555</v>
      </c>
      <c r="K6" s="29" t="n">
        <v>0.052</v>
      </c>
      <c r="L6" s="29" t="n">
        <v>0.052</v>
      </c>
      <c r="M6" s="29" t="n">
        <v>0.052</v>
      </c>
      <c r="N6" s="29" t="n">
        <v>0.056</v>
      </c>
      <c r="O6" s="29" t="n">
        <v>0.056</v>
      </c>
      <c r="P6" s="29" t="n">
        <v>0.056</v>
      </c>
      <c r="Q6" s="29" t="n">
        <v>0.056</v>
      </c>
      <c r="R6" s="29" t="n">
        <v>0.056</v>
      </c>
      <c r="S6" s="29" t="n">
        <v>0.056</v>
      </c>
      <c r="T6" s="29" t="n">
        <v>0.056</v>
      </c>
      <c r="U6" s="29" t="n">
        <v>0.056</v>
      </c>
      <c r="V6" s="29" t="n">
        <v>0.056</v>
      </c>
      <c r="W6" s="29" t="n">
        <v>0.056</v>
      </c>
      <c r="X6" s="29" t="n">
        <v>0.056</v>
      </c>
      <c r="Y6" s="29" t="n">
        <v>0.056</v>
      </c>
      <c r="Z6" s="29" t="n">
        <v>0.0587</v>
      </c>
      <c r="AA6" s="29" t="n">
        <v>0.0587</v>
      </c>
      <c r="AB6" s="29" t="n">
        <v>0.0587</v>
      </c>
      <c r="AC6" s="29" t="n">
        <v>0.0587</v>
      </c>
      <c r="AD6" s="29" t="n">
        <v>0.0587</v>
      </c>
      <c r="AE6" s="29" t="n">
        <v>0.0587</v>
      </c>
      <c r="AF6" s="29" t="n">
        <v>0.0587</v>
      </c>
      <c r="AG6" s="29" t="n">
        <v>0.0587</v>
      </c>
      <c r="AH6" s="29" t="n">
        <v>0.0587</v>
      </c>
      <c r="AI6" s="29" t="n">
        <v>0.0587</v>
      </c>
      <c r="AJ6" s="29" t="n">
        <v>0.0587</v>
      </c>
      <c r="AK6" s="29" t="n">
        <v>0.0587</v>
      </c>
      <c r="AL6" s="47" t="n">
        <f aca="false">AL7/AL3</f>
        <v>0.0574134425745811</v>
      </c>
      <c r="AM6" s="47" t="n">
        <f aca="false">AM7/AM3</f>
        <v>0.056</v>
      </c>
      <c r="AN6" s="47" t="n">
        <f aca="false">AN7/AN3</f>
        <v>0.0587</v>
      </c>
    </row>
    <row r="7" customFormat="false" ht="15" hidden="false" customHeight="false" outlineLevel="0" collapsed="false">
      <c r="A7" s="25" t="s">
        <v>154</v>
      </c>
      <c r="B7" s="48" t="n">
        <f aca="false">B3*B6</f>
        <v>2.1449562343233</v>
      </c>
      <c r="C7" s="48" t="n">
        <f aca="false">C3*C6</f>
        <v>1.76938634245981</v>
      </c>
      <c r="D7" s="48" t="n">
        <f aca="false">D3*D6</f>
        <v>2.28461249309253</v>
      </c>
      <c r="E7" s="48" t="n">
        <f aca="false">E3*E6</f>
        <v>2.10428411273573</v>
      </c>
      <c r="F7" s="48" t="n">
        <f aca="false">F3*F6</f>
        <v>2.27799565556395</v>
      </c>
      <c r="G7" s="48" t="n">
        <f aca="false">G3*G6</f>
        <v>2.52418369848914</v>
      </c>
      <c r="H7" s="48" t="n">
        <f aca="false">H3*H6</f>
        <v>2.63569557377789</v>
      </c>
      <c r="I7" s="48" t="n">
        <f aca="false">I3*I6</f>
        <v>2.61294255263353</v>
      </c>
      <c r="J7" s="48" t="n">
        <f aca="false">J3*J6</f>
        <v>2.74891684630537</v>
      </c>
      <c r="K7" s="48" t="n">
        <f aca="false">K3*K6</f>
        <v>2.81788268214775</v>
      </c>
      <c r="L7" s="48" t="n">
        <f aca="false">L3*L6</f>
        <v>3.09191808663926</v>
      </c>
      <c r="M7" s="48" t="n">
        <f aca="false">M3*M6</f>
        <v>3.31760190114034</v>
      </c>
      <c r="N7" s="48" t="n">
        <f aca="false">N3*N6</f>
        <v>3.81602269240738</v>
      </c>
      <c r="O7" s="48" t="n">
        <f aca="false">O3*O6</f>
        <v>3.27159362328107</v>
      </c>
      <c r="P7" s="48" t="n">
        <f aca="false">P3*P6</f>
        <v>4.3979752266259</v>
      </c>
      <c r="Q7" s="48" t="n">
        <f aca="false">Q3*Q6</f>
        <v>4.07819844625176</v>
      </c>
      <c r="R7" s="48" t="n">
        <f aca="false">R3*R6</f>
        <v>4.34541160191724</v>
      </c>
      <c r="S7" s="48" t="n">
        <f aca="false">S3*S6</f>
        <v>4.57565481135229</v>
      </c>
      <c r="T7" s="48" t="n">
        <f aca="false">T3*T6</f>
        <v>4.73628069607643</v>
      </c>
      <c r="U7" s="48" t="n">
        <f aca="false">U3*U6</f>
        <v>4.95301617694912</v>
      </c>
      <c r="V7" s="48" t="n">
        <f aca="false">V3*V6</f>
        <v>5.12718390853638</v>
      </c>
      <c r="W7" s="48" t="n">
        <f aca="false">W3*W6</f>
        <v>5.14868677439862</v>
      </c>
      <c r="X7" s="48" t="n">
        <f aca="false">X3*X6</f>
        <v>5.32223495956204</v>
      </c>
      <c r="Y7" s="48" t="n">
        <f aca="false">Y3*Y6</f>
        <v>5.51988128487485</v>
      </c>
      <c r="Z7" s="48" t="n">
        <f aca="false">Z3*Z6</f>
        <v>5.59647636265705</v>
      </c>
      <c r="AA7" s="48" t="n">
        <f aca="false">AA3*AA6</f>
        <v>4.77217666994658</v>
      </c>
      <c r="AB7" s="48" t="n">
        <f aca="false">AB3*AB6</f>
        <v>6.39666754848042</v>
      </c>
      <c r="AC7" s="48" t="n">
        <f aca="false">AC3*AC6</f>
        <v>5.85695853081867</v>
      </c>
      <c r="AD7" s="48" t="n">
        <f aca="false">AD3*AD6</f>
        <v>6.16560314967571</v>
      </c>
      <c r="AE7" s="48" t="n">
        <f aca="false">AE3*AE6</f>
        <v>6.33819442970284</v>
      </c>
      <c r="AF7" s="48" t="n">
        <f aca="false">AF3*AF6</f>
        <v>6.63104906868846</v>
      </c>
      <c r="AG7" s="48" t="n">
        <f aca="false">AG3*AG6</f>
        <v>6.72863475330872</v>
      </c>
      <c r="AH7" s="48" t="n">
        <f aca="false">AH3*AH6</f>
        <v>6.79850295882284</v>
      </c>
      <c r="AI7" s="48" t="n">
        <f aca="false">AI3*AI6</f>
        <v>6.96691759725629</v>
      </c>
      <c r="AJ7" s="48" t="n">
        <f aca="false">AJ3*AJ6</f>
        <v>7.04241397852753</v>
      </c>
      <c r="AK7" s="48" t="n">
        <f aca="false">AK3*AK6</f>
        <v>7.11444606026646</v>
      </c>
      <c r="AL7" s="45" t="n">
        <f aca="false">SUM(B7:M7)</f>
        <v>30.3303761793086</v>
      </c>
      <c r="AM7" s="45" t="n">
        <f aca="false">SUM(N7:Y7)</f>
        <v>55.2921402022331</v>
      </c>
      <c r="AN7" s="45" t="n">
        <f aca="false">SUM(Z7:AK7)</f>
        <v>76.4080411081516</v>
      </c>
    </row>
    <row r="8" customFormat="false" ht="15" hidden="false" customHeight="false" outlineLevel="0" collapsed="false">
      <c r="A8" s="25" t="s">
        <v>155</v>
      </c>
      <c r="B8" s="48" t="n">
        <f aca="false">B5-B7</f>
        <v>1.46793465003836</v>
      </c>
      <c r="C8" s="48" t="n">
        <f aca="false">C5-C7</f>
        <v>1.21090746740613</v>
      </c>
      <c r="D8" s="48" t="n">
        <f aca="false">D5-D7</f>
        <v>1.56351061474179</v>
      </c>
      <c r="E8" s="48" t="n">
        <f aca="false">E5-E7</f>
        <v>5.63133127331449</v>
      </c>
      <c r="F8" s="48" t="n">
        <f aca="false">F5-F7</f>
        <v>6.09620540211854</v>
      </c>
      <c r="G8" s="48" t="n">
        <f aca="false">G5-G7</f>
        <v>6.75503584086494</v>
      </c>
      <c r="H8" s="48" t="n">
        <f aca="false">H5-H7</f>
        <v>11.1636329025167</v>
      </c>
      <c r="I8" s="48" t="n">
        <f aca="false">I5-I7</f>
        <v>11.0672612357712</v>
      </c>
      <c r="J8" s="48" t="n">
        <f aca="false">J5-J7</f>
        <v>11.643187800976</v>
      </c>
      <c r="K8" s="48" t="n">
        <f aca="false">K5-K7</f>
        <v>13.423284956872</v>
      </c>
      <c r="L8" s="48" t="n">
        <f aca="false">L5-L7</f>
        <v>14.7286818586186</v>
      </c>
      <c r="M8" s="48" t="n">
        <f aca="false">M5-M7</f>
        <v>15.8037508000597</v>
      </c>
      <c r="N8" s="48" t="n">
        <f aca="false">N5-N7</f>
        <v>17.7445456606098</v>
      </c>
      <c r="O8" s="48" t="n">
        <f aca="false">O5-O7</f>
        <v>15.2129447622984</v>
      </c>
      <c r="P8" s="48" t="n">
        <f aca="false">P5-P7</f>
        <v>20.4506310663109</v>
      </c>
      <c r="Q8" s="48" t="n">
        <f aca="false">Q5-Q7</f>
        <v>19.9733433642342</v>
      </c>
      <c r="R8" s="48" t="n">
        <f aca="false">R5-R7</f>
        <v>21.2820438063258</v>
      </c>
      <c r="S8" s="48" t="n">
        <f aca="false">S5-S7</f>
        <v>22.4096806145729</v>
      </c>
      <c r="T8" s="48" t="n">
        <f aca="false">T5-T7</f>
        <v>24.223820520749</v>
      </c>
      <c r="U8" s="48" t="n">
        <f aca="false">U5-U7</f>
        <v>25.332319304085</v>
      </c>
      <c r="V8" s="48" t="n">
        <f aca="false">V5-V7</f>
        <v>26.2231043189957</v>
      </c>
      <c r="W8" s="48" t="n">
        <f aca="false">W5-W7</f>
        <v>27.293785625662</v>
      </c>
      <c r="X8" s="48" t="n">
        <f aca="false">X5-X7</f>
        <v>28.2137846796201</v>
      </c>
      <c r="Y8" s="48" t="n">
        <f aca="false">Y5-Y7</f>
        <v>29.2615307688969</v>
      </c>
      <c r="Z8" s="48" t="n">
        <f aca="false">Z5-Z7</f>
        <v>28.5536985817852</v>
      </c>
      <c r="AA8" s="48" t="n">
        <f aca="false">AA5-AA7</f>
        <v>24.3480514135484</v>
      </c>
      <c r="AB8" s="48" t="n">
        <f aca="false">AB5-AB7</f>
        <v>32.6363420965975</v>
      </c>
      <c r="AC8" s="48" t="n">
        <f aca="false">AC5-AC7</f>
        <v>30.2964847731661</v>
      </c>
      <c r="AD8" s="48" t="n">
        <f aca="false">AD5-AD7</f>
        <v>31.8930210891257</v>
      </c>
      <c r="AE8" s="48" t="n">
        <f aca="false">AE5-AE7</f>
        <v>32.785789760751</v>
      </c>
      <c r="AF8" s="48" t="n">
        <f aca="false">AF5-AF7</f>
        <v>34.8347357281525</v>
      </c>
      <c r="AG8" s="48" t="n">
        <f aca="false">AG5-AG7</f>
        <v>35.3473803337624</v>
      </c>
      <c r="AH8" s="48" t="n">
        <f aca="false">AH5-AH7</f>
        <v>35.7144173515364</v>
      </c>
      <c r="AI8" s="48" t="n">
        <f aca="false">AI5-AI7</f>
        <v>37.0509896116766</v>
      </c>
      <c r="AJ8" s="48" t="n">
        <f aca="false">AJ5-AJ7</f>
        <v>37.4524893565999</v>
      </c>
      <c r="AK8" s="48" t="n">
        <f aca="false">AK5-AK7</f>
        <v>37.8355654982307</v>
      </c>
      <c r="AL8" s="45" t="n">
        <f aca="false">SUM(B8:M8)</f>
        <v>100.554724803298</v>
      </c>
      <c r="AM8" s="45" t="n">
        <f aca="false">SUM(N8:Y8)</f>
        <v>277.621534492361</v>
      </c>
      <c r="AN8" s="45" t="n">
        <f aca="false">SUM(Z8:AK8)</f>
        <v>398.748965594933</v>
      </c>
    </row>
    <row r="9" customFormat="false" ht="15" hidden="false" customHeight="false" outlineLevel="0" collapsed="false">
      <c r="A9" s="25" t="s">
        <v>156</v>
      </c>
      <c r="B9" s="33" t="n">
        <f aca="false">B8/B3</f>
        <v>0.0464</v>
      </c>
      <c r="C9" s="33" t="n">
        <f aca="false">C8/C3</f>
        <v>0.0464</v>
      </c>
      <c r="D9" s="33" t="n">
        <f aca="false">D8/D3</f>
        <v>0.0464</v>
      </c>
      <c r="E9" s="33" t="n">
        <f aca="false">E8/E3</f>
        <v>0.1603</v>
      </c>
      <c r="F9" s="33" t="n">
        <f aca="false">F8/F3</f>
        <v>0.1603</v>
      </c>
      <c r="G9" s="33" t="n">
        <f aca="false">G8/G3</f>
        <v>0.1603</v>
      </c>
      <c r="H9" s="33" t="n">
        <f aca="false">H8/H3</f>
        <v>0.235073288529144</v>
      </c>
      <c r="I9" s="33" t="n">
        <f aca="false">I8/I3</f>
        <v>0.235073288529144</v>
      </c>
      <c r="J9" s="33" t="n">
        <f aca="false">J8/J3</f>
        <v>0.235073288529144</v>
      </c>
      <c r="K9" s="33" t="n">
        <f aca="false">K8/K3</f>
        <v>0.247707550842865</v>
      </c>
      <c r="L9" s="33" t="n">
        <f aca="false">L8/L3</f>
        <v>0.247707550842865</v>
      </c>
      <c r="M9" s="33" t="n">
        <f aca="false">M8/M3</f>
        <v>0.247707550842865</v>
      </c>
      <c r="N9" s="33" t="n">
        <f aca="false">N8/N3</f>
        <v>0.260400589066535</v>
      </c>
      <c r="O9" s="33" t="n">
        <f aca="false">O8/O3</f>
        <v>0.260400589066535</v>
      </c>
      <c r="P9" s="33" t="n">
        <f aca="false">P8/P3</f>
        <v>0.260400589066535</v>
      </c>
      <c r="Q9" s="33" t="n">
        <f aca="false">Q8/Q3</f>
        <v>0.274265032253427</v>
      </c>
      <c r="R9" s="33" t="n">
        <f aca="false">R8/R3</f>
        <v>0.274265032253427</v>
      </c>
      <c r="S9" s="33" t="n">
        <f aca="false">S8/S3</f>
        <v>0.274265032253427</v>
      </c>
      <c r="T9" s="33" t="n">
        <f aca="false">T8/T3</f>
        <v>0.286413334894975</v>
      </c>
      <c r="U9" s="33" t="n">
        <f aca="false">U8/U3</f>
        <v>0.286413334894975</v>
      </c>
      <c r="V9" s="33" t="n">
        <f aca="false">V8/V3</f>
        <v>0.286413334894975</v>
      </c>
      <c r="W9" s="33" t="n">
        <f aca="false">W8/W3</f>
        <v>0.296862493682304</v>
      </c>
      <c r="X9" s="33" t="n">
        <f aca="false">X8/X3</f>
        <v>0.296862493682304</v>
      </c>
      <c r="Y9" s="33" t="n">
        <f aca="false">Y8/Y3</f>
        <v>0.296862493682304</v>
      </c>
      <c r="Z9" s="33" t="n">
        <f aca="false">Z8/Z3</f>
        <v>0.299492394524298</v>
      </c>
      <c r="AA9" s="33" t="n">
        <f aca="false">AA8/AA3</f>
        <v>0.299492394524298</v>
      </c>
      <c r="AB9" s="33" t="n">
        <f aca="false">AB8/AB3</f>
        <v>0.299492394524298</v>
      </c>
      <c r="AC9" s="33" t="n">
        <f aca="false">AC8/AC3</f>
        <v>0.303639448158474</v>
      </c>
      <c r="AD9" s="33" t="n">
        <f aca="false">AD8/AD3</f>
        <v>0.303639448158474</v>
      </c>
      <c r="AE9" s="33" t="n">
        <f aca="false">AE8/AE3</f>
        <v>0.303639448158474</v>
      </c>
      <c r="AF9" s="33" t="n">
        <f aca="false">AF8/AF3</f>
        <v>0.308367343697999</v>
      </c>
      <c r="AG9" s="33" t="n">
        <f aca="false">AG8/AG3</f>
        <v>0.308367343697999</v>
      </c>
      <c r="AH9" s="33" t="n">
        <f aca="false">AH8/AH3</f>
        <v>0.308367343697999</v>
      </c>
      <c r="AI9" s="33" t="n">
        <f aca="false">AI8/AI3</f>
        <v>0.312174366905377</v>
      </c>
      <c r="AJ9" s="33" t="n">
        <f aca="false">AJ8/AJ3</f>
        <v>0.312174366905377</v>
      </c>
      <c r="AK9" s="33" t="n">
        <f aca="false">AK8/AK3</f>
        <v>0.312174366905377</v>
      </c>
      <c r="AL9" s="47" t="n">
        <f aca="false">AL8/AL3</f>
        <v>0.190343597585692</v>
      </c>
      <c r="AM9" s="47" t="n">
        <f aca="false">AM8/AM3</f>
        <v>0.281175694677565</v>
      </c>
      <c r="AN9" s="47" t="n">
        <f aca="false">AN8/AN3</f>
        <v>0.306336400475073</v>
      </c>
    </row>
    <row r="10" customFormat="false" ht="15" hidden="false" customHeight="false" outlineLevel="0" collapsed="false">
      <c r="A10" s="25" t="s">
        <v>157</v>
      </c>
      <c r="B10" s="39" t="n">
        <v>0.2033</v>
      </c>
      <c r="C10" s="39" t="n">
        <v>0.2033</v>
      </c>
      <c r="D10" s="39" t="n">
        <v>0.2033</v>
      </c>
      <c r="E10" s="39" t="n">
        <v>-0.0467</v>
      </c>
      <c r="F10" s="39" t="n">
        <v>-0.0467</v>
      </c>
      <c r="G10" s="39" t="n">
        <v>-0.0467</v>
      </c>
      <c r="H10" s="39" t="n">
        <v>0.1</v>
      </c>
      <c r="I10" s="39" t="n">
        <v>0.1</v>
      </c>
      <c r="J10" s="39" t="n">
        <v>0.1</v>
      </c>
      <c r="K10" s="39" t="n">
        <v>0.1</v>
      </c>
      <c r="L10" s="39" t="n">
        <v>0.1</v>
      </c>
      <c r="M10" s="39" t="n">
        <v>0.1</v>
      </c>
      <c r="N10" s="39" t="n">
        <v>0.1</v>
      </c>
      <c r="O10" s="39" t="n">
        <v>0.1</v>
      </c>
      <c r="P10" s="39" t="n">
        <v>0.1</v>
      </c>
      <c r="Q10" s="39" t="n">
        <v>0.1</v>
      </c>
      <c r="R10" s="39" t="n">
        <v>0.1</v>
      </c>
      <c r="S10" s="39" t="n">
        <v>0.1</v>
      </c>
      <c r="T10" s="39" t="n">
        <v>0.1</v>
      </c>
      <c r="U10" s="39" t="n">
        <v>0.1</v>
      </c>
      <c r="V10" s="39" t="n">
        <v>0.1</v>
      </c>
      <c r="W10" s="39" t="n">
        <v>0.1</v>
      </c>
      <c r="X10" s="39" t="n">
        <v>0.1</v>
      </c>
      <c r="Y10" s="39" t="n">
        <v>0.1</v>
      </c>
      <c r="Z10" s="39" t="n">
        <v>0.1</v>
      </c>
      <c r="AA10" s="39" t="n">
        <v>0.1</v>
      </c>
      <c r="AB10" s="39" t="n">
        <v>0.1</v>
      </c>
      <c r="AC10" s="39" t="n">
        <v>0.1</v>
      </c>
      <c r="AD10" s="39" t="n">
        <v>0.1</v>
      </c>
      <c r="AE10" s="39" t="n">
        <v>0.1</v>
      </c>
      <c r="AF10" s="39" t="n">
        <v>0.1</v>
      </c>
      <c r="AG10" s="39" t="n">
        <v>0.1</v>
      </c>
      <c r="AH10" s="39" t="n">
        <v>0.1</v>
      </c>
      <c r="AI10" s="39" t="n">
        <v>0.1</v>
      </c>
      <c r="AJ10" s="39" t="n">
        <v>0.1</v>
      </c>
      <c r="AK10" s="39" t="n">
        <v>0.1</v>
      </c>
      <c r="AL10" s="45" t="n">
        <f aca="false">SUM(B10:M10)</f>
        <v>1.0698</v>
      </c>
      <c r="AM10" s="45" t="n">
        <f aca="false">SUM(N10:Y10)</f>
        <v>1.2</v>
      </c>
      <c r="AN10" s="45" t="n">
        <f aca="false">SUM(Z10:AK10)</f>
        <v>1.2</v>
      </c>
    </row>
    <row r="11" customFormat="false" ht="15" hidden="false" customHeight="false" outlineLevel="0" collapsed="false">
      <c r="A11" s="25" t="s">
        <v>158</v>
      </c>
      <c r="B11" s="48" t="n">
        <f aca="false">B8+B10</f>
        <v>1.67123465003836</v>
      </c>
      <c r="C11" s="48" t="n">
        <f aca="false">C8+C10</f>
        <v>1.41420746740613</v>
      </c>
      <c r="D11" s="48" t="n">
        <f aca="false">D8+D10</f>
        <v>1.76681061474179</v>
      </c>
      <c r="E11" s="48" t="n">
        <f aca="false">E8+E10</f>
        <v>5.58463127331449</v>
      </c>
      <c r="F11" s="48" t="n">
        <f aca="false">F8+F10</f>
        <v>6.04950540211854</v>
      </c>
      <c r="G11" s="48" t="n">
        <f aca="false">G8+G10</f>
        <v>6.70833584086494</v>
      </c>
      <c r="H11" s="48" t="n">
        <f aca="false">H8+H10</f>
        <v>11.2636329025167</v>
      </c>
      <c r="I11" s="48" t="n">
        <f aca="false">I8+I10</f>
        <v>11.1672612357712</v>
      </c>
      <c r="J11" s="48" t="n">
        <f aca="false">J8+J10</f>
        <v>11.743187800976</v>
      </c>
      <c r="K11" s="48" t="n">
        <f aca="false">K8+K10</f>
        <v>13.523284956872</v>
      </c>
      <c r="L11" s="48" t="n">
        <f aca="false">L8+L10</f>
        <v>14.8286818586186</v>
      </c>
      <c r="M11" s="48" t="n">
        <f aca="false">M8+M10</f>
        <v>15.9037508000597</v>
      </c>
      <c r="N11" s="48" t="n">
        <f aca="false">N8+N10</f>
        <v>17.8445456606098</v>
      </c>
      <c r="O11" s="48" t="n">
        <f aca="false">O8+O10</f>
        <v>15.3129447622984</v>
      </c>
      <c r="P11" s="48" t="n">
        <f aca="false">P8+P10</f>
        <v>20.550631066311</v>
      </c>
      <c r="Q11" s="48" t="n">
        <f aca="false">Q8+Q10</f>
        <v>20.0733433642342</v>
      </c>
      <c r="R11" s="48" t="n">
        <f aca="false">R8+R10</f>
        <v>21.3820438063258</v>
      </c>
      <c r="S11" s="48" t="n">
        <f aca="false">S8+S10</f>
        <v>22.5096806145729</v>
      </c>
      <c r="T11" s="48" t="n">
        <f aca="false">T8+T10</f>
        <v>24.323820520749</v>
      </c>
      <c r="U11" s="48" t="n">
        <f aca="false">U8+U10</f>
        <v>25.432319304085</v>
      </c>
      <c r="V11" s="48" t="n">
        <f aca="false">V8+V10</f>
        <v>26.3231043189957</v>
      </c>
      <c r="W11" s="48" t="n">
        <f aca="false">W8+W10</f>
        <v>27.393785625662</v>
      </c>
      <c r="X11" s="48" t="n">
        <f aca="false">X8+X10</f>
        <v>28.3137846796201</v>
      </c>
      <c r="Y11" s="48" t="n">
        <f aca="false">Y8+Y10</f>
        <v>29.3615307688969</v>
      </c>
      <c r="Z11" s="48" t="n">
        <f aca="false">Z8+Z10</f>
        <v>28.6536985817852</v>
      </c>
      <c r="AA11" s="48" t="n">
        <f aca="false">AA8+AA10</f>
        <v>24.4480514135484</v>
      </c>
      <c r="AB11" s="48" t="n">
        <f aca="false">AB8+AB10</f>
        <v>32.7363420965975</v>
      </c>
      <c r="AC11" s="48" t="n">
        <f aca="false">AC8+AC10</f>
        <v>30.3964847731661</v>
      </c>
      <c r="AD11" s="48" t="n">
        <f aca="false">AD8+AD10</f>
        <v>31.9930210891257</v>
      </c>
      <c r="AE11" s="48" t="n">
        <f aca="false">AE8+AE10</f>
        <v>32.885789760751</v>
      </c>
      <c r="AF11" s="48" t="n">
        <f aca="false">AF8+AF10</f>
        <v>34.9347357281525</v>
      </c>
      <c r="AG11" s="48" t="n">
        <f aca="false">AG8+AG10</f>
        <v>35.4473803337624</v>
      </c>
      <c r="AH11" s="48" t="n">
        <f aca="false">AH8+AH10</f>
        <v>35.8144173515364</v>
      </c>
      <c r="AI11" s="48" t="n">
        <f aca="false">AI8+AI10</f>
        <v>37.1509896116766</v>
      </c>
      <c r="AJ11" s="48" t="n">
        <f aca="false">AJ8+AJ10</f>
        <v>37.5524893565999</v>
      </c>
      <c r="AK11" s="48" t="n">
        <f aca="false">AK8+AK10</f>
        <v>37.9355654982307</v>
      </c>
      <c r="AL11" s="45" t="n">
        <f aca="false">SUM(B11:M11)</f>
        <v>101.624524803298</v>
      </c>
      <c r="AM11" s="45" t="n">
        <f aca="false">SUM(N11:Y11)</f>
        <v>278.821534492361</v>
      </c>
      <c r="AN11" s="45" t="n">
        <f aca="false">SUM(Z11:AK11)</f>
        <v>399.948965594933</v>
      </c>
    </row>
    <row r="12" customFormat="false" ht="15" hidden="false" customHeight="false" outlineLevel="0" collapsed="false">
      <c r="A12" s="25" t="s">
        <v>159</v>
      </c>
      <c r="B12" s="33" t="n">
        <f aca="false">B11/B3</f>
        <v>0.0528261171297738</v>
      </c>
      <c r="C12" s="33" t="n">
        <f aca="false">C11/C3</f>
        <v>0.0541901245585731</v>
      </c>
      <c r="D12" s="33" t="n">
        <f aca="false">D11/D3</f>
        <v>0.0524332945047245</v>
      </c>
      <c r="E12" s="33" t="n">
        <f aca="false">E11/E3</f>
        <v>0.15897065004052</v>
      </c>
      <c r="F12" s="33" t="n">
        <f aca="false">F11/F3</f>
        <v>0.159072021363093</v>
      </c>
      <c r="G12" s="33" t="n">
        <f aca="false">G11/G3</f>
        <v>0.1591917882634</v>
      </c>
      <c r="H12" s="33" t="n">
        <f aca="false">H11/H3</f>
        <v>0.23717899453526</v>
      </c>
      <c r="I12" s="33" t="n">
        <f aca="false">I11/I3</f>
        <v>0.237197330634243</v>
      </c>
      <c r="J12" s="33" t="n">
        <f aca="false">J11/J3</f>
        <v>0.237092265570031</v>
      </c>
      <c r="K12" s="33" t="n">
        <f aca="false">K11/K3</f>
        <v>0.249552908008706</v>
      </c>
      <c r="L12" s="33" t="n">
        <f aca="false">L11/L3</f>
        <v>0.24938935477631</v>
      </c>
      <c r="M12" s="33" t="n">
        <f aca="false">M11/M3</f>
        <v>0.249274948063795</v>
      </c>
      <c r="N12" s="33" t="n">
        <f aca="false">N11/N3</f>
        <v>0.261868085580941</v>
      </c>
      <c r="O12" s="33" t="n">
        <f aca="false">O11/O3</f>
        <v>0.262112293099747</v>
      </c>
      <c r="P12" s="33" t="n">
        <f aca="false">P11/P3</f>
        <v>0.26167390228715</v>
      </c>
      <c r="Q12" s="33" t="n">
        <f aca="false">Q11/Q3</f>
        <v>0.27563818759979</v>
      </c>
      <c r="R12" s="33" t="n">
        <f aca="false">R11/R3</f>
        <v>0.275553747917906</v>
      </c>
      <c r="S12" s="33" t="n">
        <f aca="false">S11/S3</f>
        <v>0.275488900799215</v>
      </c>
      <c r="T12" s="33" t="n">
        <f aca="false">T11/T3</f>
        <v>0.28759569725045</v>
      </c>
      <c r="U12" s="33" t="n">
        <f aca="false">U11/U3</f>
        <v>0.287543959104535</v>
      </c>
      <c r="V12" s="33" t="n">
        <f aca="false">V11/V3</f>
        <v>0.287505552396805</v>
      </c>
      <c r="W12" s="33" t="n">
        <f aca="false">W11/W3</f>
        <v>0.297950149670205</v>
      </c>
      <c r="X12" s="33" t="n">
        <f aca="false">X11/X3</f>
        <v>0.297914683230971</v>
      </c>
      <c r="Y12" s="33" t="n">
        <f aca="false">Y11/Y3</f>
        <v>0.297877008254446</v>
      </c>
      <c r="Z12" s="33" t="n">
        <f aca="false">Z11/Z3</f>
        <v>0.300541268783675</v>
      </c>
      <c r="AA12" s="33" t="n">
        <f aca="false">AA11/AA3</f>
        <v>0.300722441189789</v>
      </c>
      <c r="AB12" s="33" t="n">
        <f aca="false">AB11/AB3</f>
        <v>0.300410059848549</v>
      </c>
      <c r="AC12" s="33" t="n">
        <f aca="false">AC11/AC3</f>
        <v>0.304641674820847</v>
      </c>
      <c r="AD12" s="33" t="n">
        <f aca="false">AD11/AD3</f>
        <v>0.304591504244067</v>
      </c>
      <c r="AE12" s="33" t="n">
        <f aca="false">AE11/AE3</f>
        <v>0.30456557941953</v>
      </c>
      <c r="AF12" s="33" t="n">
        <f aca="false">AF11/AF3</f>
        <v>0.309252573160064</v>
      </c>
      <c r="AG12" s="33" t="n">
        <f aca="false">AG11/AG3</f>
        <v>0.309239734638392</v>
      </c>
      <c r="AH12" s="33" t="n">
        <f aca="false">AH11/AH3</f>
        <v>0.309230769077903</v>
      </c>
      <c r="AI12" s="33" t="n">
        <f aca="false">AI11/AI3</f>
        <v>0.313016920289719</v>
      </c>
      <c r="AJ12" s="33" t="n">
        <f aca="false">AJ11/AJ3</f>
        <v>0.313007887913642</v>
      </c>
      <c r="AK12" s="33" t="n">
        <f aca="false">AK11/AK3</f>
        <v>0.312999448710802</v>
      </c>
      <c r="AL12" s="47" t="n">
        <f aca="false">AL11/AL3</f>
        <v>0.192368659869891</v>
      </c>
      <c r="AM12" s="47" t="n">
        <f aca="false">AM11/AM3</f>
        <v>0.282391057290664</v>
      </c>
      <c r="AN12" s="47" t="n">
        <f aca="false">AN11/AN3</f>
        <v>0.307258292974585</v>
      </c>
    </row>
    <row r="13" customFormat="false" ht="15" hidden="false" customHeight="false" outlineLevel="0" collapsed="false">
      <c r="A13" s="25" t="s">
        <v>160</v>
      </c>
      <c r="B13" s="29" t="n">
        <v>0.348</v>
      </c>
      <c r="C13" s="29" t="n">
        <v>0.348</v>
      </c>
      <c r="D13" s="29" t="n">
        <v>0.348</v>
      </c>
      <c r="E13" s="29" t="n">
        <v>0.3024</v>
      </c>
      <c r="F13" s="29" t="n">
        <v>0.3024</v>
      </c>
      <c r="G13" s="29" t="n">
        <v>0.3024</v>
      </c>
      <c r="H13" s="29" t="n">
        <v>0.3</v>
      </c>
      <c r="I13" s="29" t="n">
        <v>0.3</v>
      </c>
      <c r="J13" s="29" t="n">
        <v>0.3</v>
      </c>
      <c r="K13" s="29" t="n">
        <v>0.3</v>
      </c>
      <c r="L13" s="29" t="n">
        <v>0.3</v>
      </c>
      <c r="M13" s="29" t="n">
        <v>0.3</v>
      </c>
      <c r="N13" s="29" t="n">
        <v>0.275</v>
      </c>
      <c r="O13" s="29" t="n">
        <v>0.275</v>
      </c>
      <c r="P13" s="29" t="n">
        <v>0.275</v>
      </c>
      <c r="Q13" s="29" t="n">
        <v>0.275</v>
      </c>
      <c r="R13" s="29" t="n">
        <v>0.275</v>
      </c>
      <c r="S13" s="29" t="n">
        <v>0.275</v>
      </c>
      <c r="T13" s="29" t="n">
        <v>0.275</v>
      </c>
      <c r="U13" s="29" t="n">
        <v>0.275</v>
      </c>
      <c r="V13" s="29" t="n">
        <v>0.275</v>
      </c>
      <c r="W13" s="29" t="n">
        <v>0.275</v>
      </c>
      <c r="X13" s="29" t="n">
        <v>0.275</v>
      </c>
      <c r="Y13" s="29" t="n">
        <v>0.275</v>
      </c>
      <c r="Z13" s="29" t="n">
        <v>0.275</v>
      </c>
      <c r="AA13" s="29" t="n">
        <v>0.275</v>
      </c>
      <c r="AB13" s="29" t="n">
        <v>0.275</v>
      </c>
      <c r="AC13" s="29" t="n">
        <v>0.275</v>
      </c>
      <c r="AD13" s="29" t="n">
        <v>0.275</v>
      </c>
      <c r="AE13" s="29" t="n">
        <v>0.275</v>
      </c>
      <c r="AF13" s="29" t="n">
        <v>0.275</v>
      </c>
      <c r="AG13" s="29" t="n">
        <v>0.275</v>
      </c>
      <c r="AH13" s="29" t="n">
        <v>0.275</v>
      </c>
      <c r="AI13" s="29" t="n">
        <v>0.275</v>
      </c>
      <c r="AJ13" s="29" t="n">
        <v>0.275</v>
      </c>
      <c r="AK13" s="29" t="n">
        <v>0.275</v>
      </c>
      <c r="AL13" s="47" t="n">
        <f aca="false">AL14/AL11</f>
        <v>0.302725031833803</v>
      </c>
      <c r="AM13" s="47" t="n">
        <f aca="false">AM14/AM11</f>
        <v>0.275</v>
      </c>
      <c r="AN13" s="47" t="n">
        <f aca="false">AN14/AN11</f>
        <v>0.275</v>
      </c>
    </row>
    <row r="14" customFormat="false" ht="15" hidden="false" customHeight="false" outlineLevel="0" collapsed="false">
      <c r="A14" s="25" t="s">
        <v>161</v>
      </c>
      <c r="B14" s="48" t="n">
        <f aca="false">B11*B13</f>
        <v>0.581589658213351</v>
      </c>
      <c r="C14" s="48" t="n">
        <f aca="false">C11*C13</f>
        <v>0.492144198657332</v>
      </c>
      <c r="D14" s="48" t="n">
        <f aca="false">D11*D13</f>
        <v>0.614850093930142</v>
      </c>
      <c r="E14" s="48" t="n">
        <f aca="false">E11*E13</f>
        <v>1.6887924970503</v>
      </c>
      <c r="F14" s="48" t="n">
        <f aca="false">F11*F13</f>
        <v>1.82937043360065</v>
      </c>
      <c r="G14" s="48" t="n">
        <f aca="false">G11*G13</f>
        <v>2.02860075827756</v>
      </c>
      <c r="H14" s="48" t="n">
        <f aca="false">H11*H13</f>
        <v>3.37908987075501</v>
      </c>
      <c r="I14" s="48" t="n">
        <f aca="false">I11*I13</f>
        <v>3.35017837073135</v>
      </c>
      <c r="J14" s="48" t="n">
        <f aca="false">J11*J13</f>
        <v>3.52295634029279</v>
      </c>
      <c r="K14" s="48" t="n">
        <f aca="false">K11*K13</f>
        <v>4.0569854870616</v>
      </c>
      <c r="L14" s="48" t="n">
        <f aca="false">L11*L13</f>
        <v>4.44860455758558</v>
      </c>
      <c r="M14" s="48" t="n">
        <f aca="false">M11*M13</f>
        <v>4.77112524001792</v>
      </c>
      <c r="N14" s="48" t="n">
        <f aca="false">N11*N13</f>
        <v>4.90725005666769</v>
      </c>
      <c r="O14" s="48" t="n">
        <f aca="false">O11*O13</f>
        <v>4.21105980963207</v>
      </c>
      <c r="P14" s="48" t="n">
        <f aca="false">P11*P13</f>
        <v>5.65142354323551</v>
      </c>
      <c r="Q14" s="48" t="n">
        <f aca="false">Q11*Q13</f>
        <v>5.52016942516441</v>
      </c>
      <c r="R14" s="48" t="n">
        <f aca="false">R11*R13</f>
        <v>5.88006204673961</v>
      </c>
      <c r="S14" s="48" t="n">
        <f aca="false">S11*S13</f>
        <v>6.19016216900755</v>
      </c>
      <c r="T14" s="48" t="n">
        <f aca="false">T11*T13</f>
        <v>6.68905064320599</v>
      </c>
      <c r="U14" s="48" t="n">
        <f aca="false">U11*U13</f>
        <v>6.99388780862337</v>
      </c>
      <c r="V14" s="48" t="n">
        <f aca="false">V11*V13</f>
        <v>7.23885368772382</v>
      </c>
      <c r="W14" s="48" t="n">
        <f aca="false">W11*W13</f>
        <v>7.53329104705705</v>
      </c>
      <c r="X14" s="48" t="n">
        <f aca="false">X11*X13</f>
        <v>7.78629078689552</v>
      </c>
      <c r="Y14" s="48" t="n">
        <f aca="false">Y11*Y13</f>
        <v>8.07442096144666</v>
      </c>
      <c r="Z14" s="48" t="n">
        <f aca="false">Z11*Z13</f>
        <v>7.87976710999094</v>
      </c>
      <c r="AA14" s="48" t="n">
        <f aca="false">AA11*AA13</f>
        <v>6.72321413872582</v>
      </c>
      <c r="AB14" s="48" t="n">
        <f aca="false">AB11*AB13</f>
        <v>9.00249407656432</v>
      </c>
      <c r="AC14" s="48" t="n">
        <f aca="false">AC11*AC13</f>
        <v>8.35903331262067</v>
      </c>
      <c r="AD14" s="48" t="n">
        <f aca="false">AD11*AD13</f>
        <v>8.79808079950958</v>
      </c>
      <c r="AE14" s="48" t="n">
        <f aca="false">AE11*AE13</f>
        <v>9.04359218420653</v>
      </c>
      <c r="AF14" s="48" t="n">
        <f aca="false">AF11*AF13</f>
        <v>9.60705232524194</v>
      </c>
      <c r="AG14" s="48" t="n">
        <f aca="false">AG11*AG13</f>
        <v>9.74802959178467</v>
      </c>
      <c r="AH14" s="48" t="n">
        <f aca="false">AH11*AH13</f>
        <v>9.84896477167252</v>
      </c>
      <c r="AI14" s="48" t="n">
        <f aca="false">AI11*AI13</f>
        <v>10.2165221432111</v>
      </c>
      <c r="AJ14" s="48" t="n">
        <f aca="false">AJ11*AJ13</f>
        <v>10.326934573065</v>
      </c>
      <c r="AK14" s="48" t="n">
        <f aca="false">AK11*AK13</f>
        <v>10.4322805120134</v>
      </c>
      <c r="AL14" s="45" t="n">
        <f aca="false">SUM(B14:M14)</f>
        <v>30.7642875061736</v>
      </c>
      <c r="AM14" s="45" t="n">
        <f aca="false">SUM(N14:Y14)</f>
        <v>76.6759219853992</v>
      </c>
      <c r="AN14" s="45" t="n">
        <f aca="false">SUM(Z14:AK14)</f>
        <v>109.985965538606</v>
      </c>
    </row>
    <row r="15" customFormat="false" ht="15" hidden="false" customHeight="false" outlineLevel="0" collapsed="false">
      <c r="A15" s="25" t="s">
        <v>162</v>
      </c>
      <c r="B15" s="48" t="n">
        <f aca="false">B11-B14</f>
        <v>1.08964499182501</v>
      </c>
      <c r="C15" s="48" t="n">
        <f aca="false">C11-C14</f>
        <v>0.922063268748794</v>
      </c>
      <c r="D15" s="48" t="n">
        <f aca="false">D11-D14</f>
        <v>1.15196052081165</v>
      </c>
      <c r="E15" s="48" t="n">
        <f aca="false">E11-E14</f>
        <v>3.89583877626419</v>
      </c>
      <c r="F15" s="48" t="n">
        <f aca="false">F11-F14</f>
        <v>4.2201349685179</v>
      </c>
      <c r="G15" s="48" t="n">
        <f aca="false">G11-G14</f>
        <v>4.67973508258738</v>
      </c>
      <c r="H15" s="48" t="n">
        <f aca="false">H11-H14</f>
        <v>7.88454303176169</v>
      </c>
      <c r="I15" s="48" t="n">
        <f aca="false">I11-I14</f>
        <v>7.81708286503981</v>
      </c>
      <c r="J15" s="48" t="n">
        <f aca="false">J11-J14</f>
        <v>8.22023146068317</v>
      </c>
      <c r="K15" s="48" t="n">
        <f aca="false">K11-K14</f>
        <v>9.46629946981039</v>
      </c>
      <c r="L15" s="48" t="n">
        <f aca="false">L11-L14</f>
        <v>10.380077301033</v>
      </c>
      <c r="M15" s="48" t="n">
        <f aca="false">M11-M14</f>
        <v>11.1326255600418</v>
      </c>
      <c r="N15" s="48" t="n">
        <f aca="false">N11-N14</f>
        <v>12.9372956039421</v>
      </c>
      <c r="O15" s="48" t="n">
        <f aca="false">O11-O14</f>
        <v>11.1018849526664</v>
      </c>
      <c r="P15" s="48" t="n">
        <f aca="false">P11-P14</f>
        <v>14.8992075230754</v>
      </c>
      <c r="Q15" s="48" t="n">
        <f aca="false">Q11-Q14</f>
        <v>14.5531739390698</v>
      </c>
      <c r="R15" s="48" t="n">
        <f aca="false">R11-R14</f>
        <v>15.5019817595862</v>
      </c>
      <c r="S15" s="48" t="n">
        <f aca="false">S11-S14</f>
        <v>16.3195184455654</v>
      </c>
      <c r="T15" s="48" t="n">
        <f aca="false">T11-T14</f>
        <v>17.6347698775431</v>
      </c>
      <c r="U15" s="48" t="n">
        <f aca="false">U11-U14</f>
        <v>18.4384314954616</v>
      </c>
      <c r="V15" s="48" t="n">
        <f aca="false">V11-V14</f>
        <v>19.0842506312719</v>
      </c>
      <c r="W15" s="48" t="n">
        <f aca="false">W11-W14</f>
        <v>19.860494578605</v>
      </c>
      <c r="X15" s="48" t="n">
        <f aca="false">X11-X14</f>
        <v>20.5274938927246</v>
      </c>
      <c r="Y15" s="48" t="n">
        <f aca="false">Y11-Y14</f>
        <v>21.2871098074503</v>
      </c>
      <c r="Z15" s="48" t="n">
        <f aca="false">Z11-Z14</f>
        <v>20.7739314717943</v>
      </c>
      <c r="AA15" s="48" t="n">
        <f aca="false">AA11-AA14</f>
        <v>17.7248372748226</v>
      </c>
      <c r="AB15" s="48" t="n">
        <f aca="false">AB11-AB14</f>
        <v>23.7338480200332</v>
      </c>
      <c r="AC15" s="48" t="n">
        <f aca="false">AC11-AC14</f>
        <v>22.0374514605454</v>
      </c>
      <c r="AD15" s="48" t="n">
        <f aca="false">AD11-AD14</f>
        <v>23.1949402896162</v>
      </c>
      <c r="AE15" s="48" t="n">
        <f aca="false">AE11-AE14</f>
        <v>23.8421975765445</v>
      </c>
      <c r="AF15" s="48" t="n">
        <f aca="false">AF11-AF14</f>
        <v>25.3276834029106</v>
      </c>
      <c r="AG15" s="48" t="n">
        <f aca="false">AG11-AG14</f>
        <v>25.6993507419778</v>
      </c>
      <c r="AH15" s="48" t="n">
        <f aca="false">AH11-AH14</f>
        <v>25.9654525798639</v>
      </c>
      <c r="AI15" s="48" t="n">
        <f aca="false">AI11-AI14</f>
        <v>26.9344674684655</v>
      </c>
      <c r="AJ15" s="48" t="n">
        <f aca="false">AJ11-AJ14</f>
        <v>27.2255547835349</v>
      </c>
      <c r="AK15" s="48" t="n">
        <f aca="false">AK11-AK14</f>
        <v>27.5032849862172</v>
      </c>
      <c r="AL15" s="45" t="n">
        <f aca="false">SUM(B15:M15)</f>
        <v>70.8602372971248</v>
      </c>
      <c r="AM15" s="45" t="n">
        <f aca="false">SUM(N15:Y15)</f>
        <v>202.145612506962</v>
      </c>
      <c r="AN15" s="45" t="n">
        <f aca="false">SUM(Z15:AK15)</f>
        <v>289.963000056326</v>
      </c>
    </row>
    <row r="16" customFormat="false" ht="15" hidden="false" customHeight="false" outlineLevel="0" collapsed="false">
      <c r="A16" s="25" t="s">
        <v>163</v>
      </c>
      <c r="B16" s="33" t="n">
        <f aca="false">B15/B3</f>
        <v>0.0344426283686125</v>
      </c>
      <c r="C16" s="33" t="n">
        <f aca="false">C15/C3</f>
        <v>0.0353319612121897</v>
      </c>
      <c r="D16" s="33" t="n">
        <f aca="false">D15/D3</f>
        <v>0.0341865080170804</v>
      </c>
      <c r="E16" s="33" t="n">
        <f aca="false">E15/E3</f>
        <v>0.110897925468267</v>
      </c>
      <c r="F16" s="33" t="n">
        <f aca="false">F15/F3</f>
        <v>0.110968642102894</v>
      </c>
      <c r="G16" s="33" t="n">
        <f aca="false">G15/G3</f>
        <v>0.111052191492548</v>
      </c>
      <c r="H16" s="33" t="n">
        <f aca="false">H15/H3</f>
        <v>0.166025296174682</v>
      </c>
      <c r="I16" s="33" t="n">
        <f aca="false">I15/I3</f>
        <v>0.16603813144397</v>
      </c>
      <c r="J16" s="33" t="n">
        <f aca="false">J15/J3</f>
        <v>0.165964585899022</v>
      </c>
      <c r="K16" s="33" t="n">
        <f aca="false">K15/K3</f>
        <v>0.174687035606094</v>
      </c>
      <c r="L16" s="33" t="n">
        <f aca="false">L15/L3</f>
        <v>0.174572548343417</v>
      </c>
      <c r="M16" s="33" t="n">
        <f aca="false">M15/M3</f>
        <v>0.174492463644657</v>
      </c>
      <c r="N16" s="33" t="n">
        <f aca="false">N15/N3</f>
        <v>0.189854362046182</v>
      </c>
      <c r="O16" s="33" t="n">
        <f aca="false">O15/O3</f>
        <v>0.190031412497317</v>
      </c>
      <c r="P16" s="33" t="n">
        <f aca="false">P15/P3</f>
        <v>0.189713579158184</v>
      </c>
      <c r="Q16" s="33" t="n">
        <f aca="false">Q15/Q3</f>
        <v>0.199837686009848</v>
      </c>
      <c r="R16" s="33" t="n">
        <f aca="false">R15/R3</f>
        <v>0.199776467240482</v>
      </c>
      <c r="S16" s="33" t="n">
        <f aca="false">S15/S3</f>
        <v>0.199729453079431</v>
      </c>
      <c r="T16" s="33" t="n">
        <f aca="false">T15/T3</f>
        <v>0.208506880506576</v>
      </c>
      <c r="U16" s="33" t="n">
        <f aca="false">U15/U3</f>
        <v>0.208469370350788</v>
      </c>
      <c r="V16" s="33" t="n">
        <f aca="false">V15/V3</f>
        <v>0.208441525487683</v>
      </c>
      <c r="W16" s="33" t="n">
        <f aca="false">W15/W3</f>
        <v>0.216013858510899</v>
      </c>
      <c r="X16" s="33" t="n">
        <f aca="false">X15/X3</f>
        <v>0.215988145342454</v>
      </c>
      <c r="Y16" s="33" t="n">
        <f aca="false">Y15/Y3</f>
        <v>0.215960830984473</v>
      </c>
      <c r="Z16" s="33" t="n">
        <f aca="false">Z15/Z3</f>
        <v>0.217892419868164</v>
      </c>
      <c r="AA16" s="33" t="n">
        <f aca="false">AA15/AA3</f>
        <v>0.218023769862597</v>
      </c>
      <c r="AB16" s="33" t="n">
        <f aca="false">AB15/AB3</f>
        <v>0.217797293390198</v>
      </c>
      <c r="AC16" s="33" t="n">
        <f aca="false">AC15/AC3</f>
        <v>0.220865214245114</v>
      </c>
      <c r="AD16" s="33" t="n">
        <f aca="false">AD15/AD3</f>
        <v>0.220828840576949</v>
      </c>
      <c r="AE16" s="33" t="n">
        <f aca="false">AE15/AE3</f>
        <v>0.220810045079159</v>
      </c>
      <c r="AF16" s="33" t="n">
        <f aca="false">AF15/AF3</f>
        <v>0.224208115541046</v>
      </c>
      <c r="AG16" s="33" t="n">
        <f aca="false">AG15/AG3</f>
        <v>0.224198807612834</v>
      </c>
      <c r="AH16" s="33" t="n">
        <f aca="false">AH15/AH3</f>
        <v>0.22419230758148</v>
      </c>
      <c r="AI16" s="33" t="n">
        <f aca="false">AI15/AI3</f>
        <v>0.226937267210047</v>
      </c>
      <c r="AJ16" s="33" t="n">
        <f aca="false">AJ15/AJ3</f>
        <v>0.226930718737391</v>
      </c>
      <c r="AK16" s="33" t="n">
        <f aca="false">AK15/AK3</f>
        <v>0.226924600315331</v>
      </c>
      <c r="AL16" s="47" t="n">
        <f aca="false">AL15/AL3</f>
        <v>0.134133851186952</v>
      </c>
      <c r="AM16" s="47" t="n">
        <f aca="false">AM15/AM3</f>
        <v>0.204733516535731</v>
      </c>
      <c r="AN16" s="47" t="n">
        <f aca="false">AN15/AN3</f>
        <v>0.222762262406574</v>
      </c>
    </row>
    <row r="17" customFormat="false" ht="15" hidden="false" customHeight="false" outlineLevel="0" collapsed="false">
      <c r="A17" s="25" t="s">
        <v>164</v>
      </c>
      <c r="B17" s="48" t="n">
        <f aca="false">B15</f>
        <v>1.08964499182501</v>
      </c>
      <c r="C17" s="48" t="n">
        <f aca="false">C15</f>
        <v>0.922063268748794</v>
      </c>
      <c r="D17" s="48" t="n">
        <f aca="false">D15</f>
        <v>1.15196052081165</v>
      </c>
      <c r="E17" s="48" t="n">
        <f aca="false">E15</f>
        <v>3.89583877626419</v>
      </c>
      <c r="F17" s="48" t="n">
        <f aca="false">F15</f>
        <v>4.2201349685179</v>
      </c>
      <c r="G17" s="48" t="n">
        <f aca="false">G15</f>
        <v>4.67973508258738</v>
      </c>
      <c r="H17" s="48" t="n">
        <f aca="false">H15</f>
        <v>7.88454303176169</v>
      </c>
      <c r="I17" s="48" t="n">
        <f aca="false">I15</f>
        <v>7.81708286503981</v>
      </c>
      <c r="J17" s="48" t="n">
        <f aca="false">J15</f>
        <v>8.22023146068317</v>
      </c>
      <c r="K17" s="48" t="n">
        <f aca="false">K15</f>
        <v>9.46629946981039</v>
      </c>
      <c r="L17" s="48" t="n">
        <f aca="false">L15</f>
        <v>10.380077301033</v>
      </c>
      <c r="M17" s="48" t="n">
        <f aca="false">M15</f>
        <v>11.1326255600418</v>
      </c>
      <c r="N17" s="48" t="n">
        <f aca="false">N15</f>
        <v>12.9372956039421</v>
      </c>
      <c r="O17" s="48" t="n">
        <f aca="false">O15</f>
        <v>11.1018849526664</v>
      </c>
      <c r="P17" s="48" t="n">
        <f aca="false">P15</f>
        <v>14.8992075230754</v>
      </c>
      <c r="Q17" s="48" t="n">
        <f aca="false">Q15</f>
        <v>14.5531739390698</v>
      </c>
      <c r="R17" s="48" t="n">
        <f aca="false">R15</f>
        <v>15.5019817595862</v>
      </c>
      <c r="S17" s="48" t="n">
        <f aca="false">S15</f>
        <v>16.3195184455654</v>
      </c>
      <c r="T17" s="48" t="n">
        <f aca="false">T15</f>
        <v>17.6347698775431</v>
      </c>
      <c r="U17" s="48" t="n">
        <f aca="false">U15</f>
        <v>18.4384314954616</v>
      </c>
      <c r="V17" s="48" t="n">
        <f aca="false">V15</f>
        <v>19.0842506312719</v>
      </c>
      <c r="W17" s="48" t="n">
        <f aca="false">W15</f>
        <v>19.860494578605</v>
      </c>
      <c r="X17" s="48" t="n">
        <f aca="false">X15</f>
        <v>20.5274938927246</v>
      </c>
      <c r="Y17" s="48" t="n">
        <f aca="false">Y15</f>
        <v>21.2871098074503</v>
      </c>
      <c r="Z17" s="48" t="n">
        <f aca="false">Z15</f>
        <v>20.7739314717943</v>
      </c>
      <c r="AA17" s="48" t="n">
        <f aca="false">AA15</f>
        <v>17.7248372748226</v>
      </c>
      <c r="AB17" s="48" t="n">
        <f aca="false">AB15</f>
        <v>23.7338480200332</v>
      </c>
      <c r="AC17" s="48" t="n">
        <f aca="false">AC15</f>
        <v>22.0374514605454</v>
      </c>
      <c r="AD17" s="48" t="n">
        <f aca="false">AD15</f>
        <v>23.1949402896162</v>
      </c>
      <c r="AE17" s="48" t="n">
        <f aca="false">AE15</f>
        <v>23.8421975765445</v>
      </c>
      <c r="AF17" s="48" t="n">
        <f aca="false">AF15</f>
        <v>25.3276834029106</v>
      </c>
      <c r="AG17" s="48" t="n">
        <f aca="false">AG15</f>
        <v>25.6993507419778</v>
      </c>
      <c r="AH17" s="48" t="n">
        <f aca="false">AH15</f>
        <v>25.9654525798639</v>
      </c>
      <c r="AI17" s="48" t="n">
        <f aca="false">AI15</f>
        <v>26.9344674684655</v>
      </c>
      <c r="AJ17" s="48" t="n">
        <f aca="false">AJ15</f>
        <v>27.2255547835349</v>
      </c>
      <c r="AK17" s="48" t="n">
        <f aca="false">AK15</f>
        <v>27.5032849862172</v>
      </c>
      <c r="AL17" s="45" t="n">
        <f aca="false">SUM(B17:M17)</f>
        <v>70.8602372971248</v>
      </c>
      <c r="AM17" s="45" t="n">
        <f aca="false">SUM(N17:Y17)</f>
        <v>202.145612506962</v>
      </c>
      <c r="AN17" s="45" t="n">
        <f aca="false">SUM(Z17:AK17)</f>
        <v>289.963000056326</v>
      </c>
    </row>
    <row r="18" customFormat="false" ht="15" hidden="false" customHeight="false" outlineLevel="0" collapsed="false">
      <c r="A18" s="25" t="s">
        <v>165</v>
      </c>
      <c r="B18" s="49" t="n">
        <v>3.635</v>
      </c>
      <c r="C18" s="49" t="n">
        <v>3.635</v>
      </c>
      <c r="D18" s="49" t="n">
        <v>3.635</v>
      </c>
      <c r="E18" s="49" t="n">
        <v>3.635</v>
      </c>
      <c r="F18" s="49" t="n">
        <v>3.635</v>
      </c>
      <c r="G18" s="49" t="n">
        <v>3.635</v>
      </c>
      <c r="H18" s="49" t="n">
        <v>3.635</v>
      </c>
      <c r="I18" s="49" t="n">
        <v>3.635</v>
      </c>
      <c r="J18" s="49" t="n">
        <v>3.635</v>
      </c>
      <c r="K18" s="49" t="n">
        <v>3.635</v>
      </c>
      <c r="L18" s="49" t="n">
        <v>3.635</v>
      </c>
      <c r="M18" s="49" t="n">
        <v>3.635</v>
      </c>
      <c r="N18" s="49" t="n">
        <v>3.635</v>
      </c>
      <c r="O18" s="49" t="n">
        <v>3.635</v>
      </c>
      <c r="P18" s="49" t="n">
        <v>3.635</v>
      </c>
      <c r="Q18" s="49" t="n">
        <v>3.635</v>
      </c>
      <c r="R18" s="49" t="n">
        <v>3.635</v>
      </c>
      <c r="S18" s="49" t="n">
        <v>3.635</v>
      </c>
      <c r="T18" s="49" t="n">
        <v>3.635</v>
      </c>
      <c r="U18" s="49" t="n">
        <v>3.635</v>
      </c>
      <c r="V18" s="49" t="n">
        <v>3.635</v>
      </c>
      <c r="W18" s="49" t="n">
        <v>3.635</v>
      </c>
      <c r="X18" s="49" t="n">
        <v>3.635</v>
      </c>
      <c r="Y18" s="49" t="n">
        <v>3.635</v>
      </c>
      <c r="Z18" s="49" t="n">
        <v>3.635</v>
      </c>
      <c r="AA18" s="49" t="n">
        <v>3.635</v>
      </c>
      <c r="AB18" s="49" t="n">
        <v>3.635</v>
      </c>
      <c r="AC18" s="49" t="n">
        <v>3.635</v>
      </c>
      <c r="AD18" s="49" t="n">
        <v>3.635</v>
      </c>
      <c r="AE18" s="49" t="n">
        <v>3.635</v>
      </c>
      <c r="AF18" s="49" t="n">
        <v>3.635</v>
      </c>
      <c r="AG18" s="49" t="n">
        <v>3.635</v>
      </c>
      <c r="AH18" s="49" t="n">
        <v>3.635</v>
      </c>
      <c r="AI18" s="49" t="n">
        <v>3.635</v>
      </c>
      <c r="AJ18" s="49" t="n">
        <v>3.635</v>
      </c>
      <c r="AK18" s="49" t="n">
        <v>3.635</v>
      </c>
      <c r="AL18" s="50" t="n">
        <v>3.635</v>
      </c>
      <c r="AM18" s="50" t="n">
        <v>3.635</v>
      </c>
      <c r="AN18" s="50" t="n">
        <v>3.635</v>
      </c>
    </row>
    <row r="19" customFormat="false" ht="15" hidden="false" customHeight="false" outlineLevel="0" collapsed="false">
      <c r="A19" s="51" t="s">
        <v>166</v>
      </c>
      <c r="B19" s="52" t="n">
        <f aca="false">B17/B18</f>
        <v>0.299764784546083</v>
      </c>
      <c r="C19" s="52" t="n">
        <f aca="false">C17/C18</f>
        <v>0.2536625223518</v>
      </c>
      <c r="D19" s="52" t="n">
        <f aca="false">D17/D18</f>
        <v>0.316907983717097</v>
      </c>
      <c r="E19" s="52" t="n">
        <f aca="false">E17/E18</f>
        <v>1.07175757256236</v>
      </c>
      <c r="F19" s="52" t="n">
        <f aca="false">F17/F18</f>
        <v>1.16097248102281</v>
      </c>
      <c r="G19" s="52" t="n">
        <f aca="false">G17/G18</f>
        <v>1.28740992643394</v>
      </c>
      <c r="H19" s="52" t="n">
        <f aca="false">H17/H18</f>
        <v>2.16906273225906</v>
      </c>
      <c r="I19" s="52" t="n">
        <f aca="false">I17/I18</f>
        <v>2.15050422697106</v>
      </c>
      <c r="J19" s="52" t="n">
        <f aca="false">J17/J18</f>
        <v>2.26141168106827</v>
      </c>
      <c r="K19" s="52" t="n">
        <f aca="false">K17/K18</f>
        <v>2.60420893254756</v>
      </c>
      <c r="L19" s="52" t="n">
        <f aca="false">L17/L18</f>
        <v>2.85559210482339</v>
      </c>
      <c r="M19" s="52" t="n">
        <f aca="false">M17/M18</f>
        <v>3.06262051170339</v>
      </c>
      <c r="N19" s="52" t="n">
        <f aca="false">N17/N18</f>
        <v>3.5590909501904</v>
      </c>
      <c r="O19" s="52" t="n">
        <f aca="false">O17/O18</f>
        <v>3.05416367336076</v>
      </c>
      <c r="P19" s="52" t="n">
        <f aca="false">P17/P18</f>
        <v>4.098819126018</v>
      </c>
      <c r="Q19" s="52" t="n">
        <f aca="false">Q17/Q18</f>
        <v>4.00362419231631</v>
      </c>
      <c r="R19" s="52" t="n">
        <f aca="false">R17/R18</f>
        <v>4.26464422547077</v>
      </c>
      <c r="S19" s="52" t="n">
        <f aca="false">S17/S18</f>
        <v>4.48955115421331</v>
      </c>
      <c r="T19" s="52" t="n">
        <f aca="false">T17/T18</f>
        <v>4.85138098419341</v>
      </c>
      <c r="U19" s="52" t="n">
        <f aca="false">U17/U18</f>
        <v>5.07247083781613</v>
      </c>
      <c r="V19" s="52" t="n">
        <f aca="false">V17/V18</f>
        <v>5.25013772524674</v>
      </c>
      <c r="W19" s="52" t="n">
        <f aca="false">W17/W18</f>
        <v>5.46368489095047</v>
      </c>
      <c r="X19" s="52" t="n">
        <f aca="false">X17/X18</f>
        <v>5.64717851244142</v>
      </c>
      <c r="Y19" s="52" t="n">
        <f aca="false">Y17/Y18</f>
        <v>5.85615125376899</v>
      </c>
      <c r="Z19" s="52" t="n">
        <f aca="false">Z17/Z18</f>
        <v>5.71497427009472</v>
      </c>
      <c r="AA19" s="52" t="n">
        <f aca="false">AA17/AA18</f>
        <v>4.87615881013002</v>
      </c>
      <c r="AB19" s="52" t="n">
        <f aca="false">AB17/AB18</f>
        <v>6.52925667676291</v>
      </c>
      <c r="AC19" s="52" t="n">
        <f aca="false">AC17/AC18</f>
        <v>6.06257261638113</v>
      </c>
      <c r="AD19" s="52" t="n">
        <f aca="false">AD17/AD18</f>
        <v>6.38100145519014</v>
      </c>
      <c r="AE19" s="52" t="n">
        <f aca="false">AE17/AE18</f>
        <v>6.55906398254319</v>
      </c>
      <c r="AF19" s="52" t="n">
        <f aca="false">AF17/AF18</f>
        <v>6.96772583298778</v>
      </c>
      <c r="AG19" s="52" t="n">
        <f aca="false">AG17/AG18</f>
        <v>7.06997269380406</v>
      </c>
      <c r="AH19" s="52" t="n">
        <f aca="false">AH17/AH18</f>
        <v>7.1431781512693</v>
      </c>
      <c r="AI19" s="52" t="n">
        <f aca="false">AI17/AI18</f>
        <v>7.40975721278281</v>
      </c>
      <c r="AJ19" s="52" t="n">
        <f aca="false">AJ17/AJ18</f>
        <v>7.48983625406738</v>
      </c>
      <c r="AK19" s="52" t="n">
        <f aca="false">AK17/AK18</f>
        <v>7.56624071147654</v>
      </c>
      <c r="AL19" s="53" t="n">
        <f aca="false">AL17/AL18</f>
        <v>19.4938754600068</v>
      </c>
      <c r="AM19" s="53" t="n">
        <f aca="false">AM17/AM18</f>
        <v>55.6108975259867</v>
      </c>
      <c r="AN19" s="53" t="n">
        <f aca="false">AN17/AN18</f>
        <v>79.76973866749</v>
      </c>
    </row>
    <row r="20" customFormat="false" ht="15" hidden="false" customHeight="false" outlineLevel="0" collapsed="false">
      <c r="A20" s="51" t="s">
        <v>167</v>
      </c>
      <c r="B20" s="54" t="n">
        <f aca="false">SUM(B19:D19)</f>
        <v>0.87033529061498</v>
      </c>
      <c r="C20" s="55"/>
      <c r="D20" s="55"/>
      <c r="E20" s="54" t="n">
        <f aca="false">SUM(E19:G19)</f>
        <v>3.52013998001911</v>
      </c>
      <c r="F20" s="55"/>
      <c r="G20" s="55"/>
      <c r="H20" s="54" t="n">
        <f aca="false">SUM(H19:J19)</f>
        <v>6.5809786402984</v>
      </c>
      <c r="I20" s="55"/>
      <c r="J20" s="55"/>
      <c r="K20" s="54" t="n">
        <f aca="false">SUM(K19:M19)</f>
        <v>8.52242154907434</v>
      </c>
      <c r="L20" s="55"/>
      <c r="M20" s="55"/>
      <c r="N20" s="54" t="n">
        <f aca="false">SUM(N19:P19)</f>
        <v>10.7120737495692</v>
      </c>
      <c r="O20" s="55"/>
      <c r="P20" s="55"/>
      <c r="Q20" s="54" t="n">
        <f aca="false">SUM(Q19:S19)</f>
        <v>12.7578195720004</v>
      </c>
      <c r="R20" s="55"/>
      <c r="S20" s="55"/>
      <c r="T20" s="54" t="n">
        <f aca="false">SUM(T19:V19)</f>
        <v>15.1739895472563</v>
      </c>
      <c r="U20" s="55"/>
      <c r="V20" s="55"/>
      <c r="W20" s="54" t="n">
        <f aca="false">SUM(W19:Y19)</f>
        <v>16.9670146571609</v>
      </c>
      <c r="X20" s="55"/>
      <c r="Y20" s="55"/>
      <c r="Z20" s="54" t="n">
        <f aca="false">SUM(Z19:AB19)</f>
        <v>17.1203897569877</v>
      </c>
      <c r="AA20" s="55"/>
      <c r="AB20" s="55"/>
      <c r="AC20" s="54" t="n">
        <f aca="false">SUM(AC19:AE19)</f>
        <v>19.0026380541145</v>
      </c>
      <c r="AD20" s="55"/>
      <c r="AE20" s="55"/>
      <c r="AF20" s="54" t="n">
        <f aca="false">SUM(AF19:AH19)</f>
        <v>21.1808766780611</v>
      </c>
      <c r="AG20" s="55"/>
      <c r="AH20" s="55"/>
      <c r="AI20" s="54" t="n">
        <f aca="false">SUM(AI19:AK19)</f>
        <v>22.4658341783267</v>
      </c>
      <c r="AJ20" s="55"/>
      <c r="AK20" s="55"/>
      <c r="AL20" s="56"/>
      <c r="AM20" s="56"/>
      <c r="AN20" s="56"/>
    </row>
    <row r="22" customFormat="false" ht="15" hidden="false" customHeight="false" outlineLevel="0" collapsed="false">
      <c r="A22" s="32" t="s">
        <v>168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7" t="n">
        <f aca="false">AL19</f>
        <v>19.4938754600068</v>
      </c>
      <c r="AM22" s="57" t="n">
        <f aca="false">AM19</f>
        <v>55.6108975259867</v>
      </c>
      <c r="AN22" s="57" t="n">
        <f aca="false">AN19</f>
        <v>79.76973866749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5"/>
  </cols>
  <sheetData>
    <row r="1" customFormat="false" ht="20.1" hidden="false" customHeight="false" outlineLevel="0" collapsed="false">
      <c r="A1" s="58" t="s">
        <v>169</v>
      </c>
    </row>
    <row r="3" customFormat="false" ht="15" hidden="false" customHeight="false" outlineLevel="0" collapsed="false">
      <c r="A3" s="59" t="s">
        <v>3</v>
      </c>
      <c r="B3" s="60" t="s">
        <v>170</v>
      </c>
      <c r="C3" s="60" t="s">
        <v>171</v>
      </c>
      <c r="D3" s="60" t="s">
        <v>172</v>
      </c>
    </row>
    <row r="4" customFormat="false" ht="15" hidden="false" customHeight="false" outlineLevel="0" collapsed="false">
      <c r="A4" s="9" t="s">
        <v>173</v>
      </c>
      <c r="B4" s="61" t="n">
        <f aca="false">2_月度損益表!AL3</f>
        <v>528.2800476545</v>
      </c>
      <c r="C4" s="61" t="n">
        <f aca="false">2_月度損益表!AM3</f>
        <v>987.359646468448</v>
      </c>
      <c r="D4" s="61" t="n">
        <f aca="false">2_月度損益表!AN3</f>
        <v>1301.67020627175</v>
      </c>
    </row>
    <row r="5" customFormat="false" ht="15" hidden="false" customHeight="false" outlineLevel="0" collapsed="false">
      <c r="A5" s="9" t="s">
        <v>174</v>
      </c>
      <c r="B5" s="62" t="n">
        <f aca="false">2_月度損益表!AL4</f>
        <v>0.247757040160273</v>
      </c>
      <c r="C5" s="62" t="n">
        <f aca="false">2_月度損益表!AM4</f>
        <v>0.337175694677565</v>
      </c>
      <c r="D5" s="62" t="n">
        <f aca="false">2_月度損益表!AN4</f>
        <v>0.365036400475073</v>
      </c>
    </row>
    <row r="6" customFormat="false" ht="15" hidden="false" customHeight="false" outlineLevel="0" collapsed="false">
      <c r="A6" s="9" t="s">
        <v>175</v>
      </c>
      <c r="B6" s="61" t="n">
        <f aca="false">2_月度損益表!AL11</f>
        <v>101.624524803298</v>
      </c>
      <c r="C6" s="61" t="n">
        <f aca="false">2_月度損益表!AM11</f>
        <v>278.821534492361</v>
      </c>
      <c r="D6" s="61" t="n">
        <f aca="false">2_月度損益表!AN11</f>
        <v>399.948965594933</v>
      </c>
    </row>
    <row r="7" customFormat="false" ht="15" hidden="false" customHeight="false" outlineLevel="0" collapsed="false">
      <c r="A7" s="9" t="s">
        <v>176</v>
      </c>
      <c r="B7" s="61" t="n">
        <f aca="false">2_月度損益表!AL17</f>
        <v>70.8602372971248</v>
      </c>
      <c r="C7" s="61" t="n">
        <f aca="false">2_月度損益表!AM17</f>
        <v>202.145612506962</v>
      </c>
      <c r="D7" s="61" t="n">
        <f aca="false">2_月度損益表!AN17</f>
        <v>289.963000056326</v>
      </c>
    </row>
    <row r="8" customFormat="false" ht="15" hidden="false" customHeight="false" outlineLevel="0" collapsed="false">
      <c r="A8" s="63" t="s">
        <v>177</v>
      </c>
      <c r="B8" s="64" t="n">
        <f aca="false">2_月度損益表!AL19</f>
        <v>19.4938754600068</v>
      </c>
      <c r="C8" s="64" t="n">
        <f aca="false">2_月度損益表!AM19</f>
        <v>55.6108975259867</v>
      </c>
      <c r="D8" s="64" t="n">
        <f aca="false">2_月度損益表!AN19</f>
        <v>79.76973866749</v>
      </c>
    </row>
    <row r="10" customFormat="false" ht="15" hidden="false" customHeight="false" outlineLevel="0" collapsed="false">
      <c r="A10" s="3" t="s">
        <v>178</v>
      </c>
      <c r="B10" s="65"/>
      <c r="C10" s="65"/>
      <c r="D10" s="65"/>
    </row>
    <row r="11" customFormat="false" ht="15" hidden="false" customHeight="false" outlineLevel="0" collapsed="false">
      <c r="A11" s="9" t="s">
        <v>179</v>
      </c>
      <c r="B11" s="66" t="n">
        <v>19.38</v>
      </c>
      <c r="C11" s="66" t="n">
        <v>52.22</v>
      </c>
      <c r="D11" s="66" t="n">
        <v>71.37</v>
      </c>
    </row>
    <row r="12" customFormat="false" ht="15" hidden="false" customHeight="false" outlineLevel="0" collapsed="false">
      <c r="A12" s="9" t="s">
        <v>180</v>
      </c>
      <c r="B12" s="66" t="n">
        <v>19.11</v>
      </c>
      <c r="C12" s="66" t="n">
        <v>50.42</v>
      </c>
      <c r="D12" s="66" t="n">
        <v>74.53</v>
      </c>
    </row>
    <row r="13" customFormat="false" ht="15" hidden="false" customHeight="false" outlineLevel="0" collapsed="false">
      <c r="A13" s="9" t="s">
        <v>181</v>
      </c>
      <c r="B13" s="66" t="n">
        <v>19.5</v>
      </c>
      <c r="C13" s="66" t="n">
        <v>39.67</v>
      </c>
      <c r="D13" s="66" t="s">
        <v>21</v>
      </c>
    </row>
    <row r="14" customFormat="false" ht="15" hidden="false" customHeight="false" outlineLevel="0" collapsed="false">
      <c r="A14" s="6" t="s">
        <v>182</v>
      </c>
      <c r="B14" s="66" t="n">
        <v>12.82</v>
      </c>
      <c r="C14" s="66" t="n">
        <v>22.69</v>
      </c>
      <c r="D14" s="66" t="n">
        <v>14.8</v>
      </c>
    </row>
    <row r="15" customFormat="false" ht="15" hidden="false" customHeight="false" outlineLevel="0" collapsed="false">
      <c r="A15" s="6" t="s">
        <v>183</v>
      </c>
      <c r="B15" s="66" t="n">
        <v>12.77</v>
      </c>
      <c r="C15" s="66" t="n">
        <v>20.34</v>
      </c>
      <c r="D15" s="66" t="s">
        <v>21</v>
      </c>
    </row>
    <row r="17" customFormat="false" ht="15" hidden="false" customHeight="false" outlineLevel="0" collapsed="false">
      <c r="A17" s="63" t="s">
        <v>184</v>
      </c>
      <c r="B17" s="67" t="n">
        <f aca="false">B8-B11</f>
        <v>0.113875460006831</v>
      </c>
      <c r="C17" s="67" t="n">
        <f aca="false">C8-C11</f>
        <v>3.3908975259867</v>
      </c>
      <c r="D17" s="67" t="n">
        <f aca="false">D8-D11</f>
        <v>8.39973866748997</v>
      </c>
    </row>
    <row r="19" customFormat="false" ht="15" hidden="false" customHeight="false" outlineLevel="0" collapsed="false">
      <c r="A19" s="68" t="s">
        <v>185</v>
      </c>
      <c r="B19" s="69" t="n">
        <f aca="false">488/2_月度損益表!AL19</f>
        <v>25.0335035227433</v>
      </c>
      <c r="C19" s="69" t="n">
        <f aca="false">488/2_月度損益表!AM19</f>
        <v>8.77525847828584</v>
      </c>
      <c r="D19" s="69" t="n">
        <f aca="false">488/2_月度損益表!AN19</f>
        <v>6.11760810743239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2026-08-18T13:13:25Z</dcterms:created>
  <dc:creator>openpyxl</dc:creator>
  <dc:description/>
  <dc:language>en-US</dc:language>
  <cp:lastModifiedBy/>
  <dcterms:modified xsi:type="dcterms:W3CDTF">2026-08-18T13:13:25Z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