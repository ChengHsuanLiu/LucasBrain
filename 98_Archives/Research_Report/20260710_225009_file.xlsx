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變量總覽" sheetId="1" state="visible" r:id="rId3"/>
    <sheet name="1_輸入區" sheetId="2" state="visible" r:id="rId4"/>
    <sheet name="2_EPS計算" sheetId="3" state="visible" r:id="rId5"/>
    <sheet name="3_敏感度" sheetId="4" state="visible" r:id="rId6"/>
    <sheet name="4_情境與檢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<sst xmlns="http://schemas.openxmlformats.org/spreadsheetml/2006/main" count="183" uniqueCount="158">
  <si>
    <r>
      <rPr>
        <b val="true"/>
        <sz val="14"/>
        <color rgb="FF1A2540"/>
        <rFont val="Noto Sans CJK SC"/>
        <family val="2"/>
      </rPr>
      <t xml:space="preserve">估值變量確認總覽 — 台燿（</t>
    </r>
    <r>
      <rPr>
        <b val="true"/>
        <sz val="14"/>
        <color rgb="FF1A2540"/>
        <rFont val="Arial"/>
        <family val="0"/>
        <charset val="1"/>
      </rPr>
      <t xml:space="preserve">6274</t>
    </r>
    <r>
      <rPr>
        <b val="true"/>
        <sz val="14"/>
        <color rgb="FF1A2540"/>
        <rFont val="Noto Sans CJK SC"/>
        <family val="2"/>
      </rPr>
      <t xml:space="preserve">）</t>
    </r>
  </si>
  <si>
    <r>
      <rPr>
        <i val="true"/>
        <sz val="9"/>
        <color rgb="FF888888"/>
        <rFont val="Noto Sans CJK SC"/>
        <family val="2"/>
      </rPr>
      <t xml:space="preserve">報告日期：</t>
    </r>
    <r>
      <rPr>
        <i val="true"/>
        <sz val="9"/>
        <color rgb="FF888888"/>
        <rFont val="Arial"/>
        <family val="0"/>
        <charset val="1"/>
      </rPr>
      <t xml:space="preserve">20260710</t>
    </r>
    <r>
      <rPr>
        <i val="true"/>
        <sz val="9"/>
        <color rgb="FF888888"/>
        <rFont val="Noto Sans CJK SC"/>
        <family val="2"/>
      </rPr>
      <t xml:space="preserve">｜本表為唯讀摘要，實際輸入請至「</t>
    </r>
    <r>
      <rPr>
        <i val="true"/>
        <sz val="9"/>
        <color rgb="FF888888"/>
        <rFont val="Arial"/>
        <family val="0"/>
        <charset val="1"/>
      </rPr>
      <t xml:space="preserve">1_</t>
    </r>
    <r>
      <rPr>
        <i val="true"/>
        <sz val="9"/>
        <color rgb="FF888888"/>
        <rFont val="Noto Sans CJK SC"/>
        <family val="2"/>
      </rPr>
      <t xml:space="preserve">輸入區」修改</t>
    </r>
  </si>
  <si>
    <t xml:space="preserve">變量</t>
  </si>
  <si>
    <t xml:space="preserve">採用值</t>
  </si>
  <si>
    <t xml:space="preserve">來源</t>
  </si>
  <si>
    <t xml:space="preserve">影響方向</t>
  </si>
  <si>
    <t xml:space="preserve">現價</t>
  </si>
  <si>
    <r>
      <rPr>
        <sz val="10"/>
        <color rgb="FF000000"/>
        <rFont val="Arial"/>
        <family val="0"/>
        <charset val="1"/>
      </rPr>
      <t xml:space="preserve">1570.0 </t>
    </r>
    <r>
      <rPr>
        <sz val="10"/>
        <color rgb="FF000000"/>
        <rFont val="Noto Sans CJK SC"/>
        <family val="2"/>
      </rPr>
      <t xml:space="preserve">元</t>
    </r>
  </si>
  <si>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 </t>
    </r>
    <r>
      <rPr>
        <i val="true"/>
        <sz val="9"/>
        <color rgb="FF888888"/>
        <rFont val="Arial"/>
        <family val="0"/>
        <charset val="1"/>
      </rPr>
      <t xml:space="preserve">2026/07/09</t>
    </r>
    <r>
      <rPr>
        <i val="true"/>
        <sz val="9"/>
        <color rgb="FF888888"/>
        <rFont val="Noto Sans CJK SC"/>
        <family val="2"/>
      </rPr>
      <t xml:space="preserve">收盤</t>
    </r>
    <r>
      <rPr>
        <i val="true"/>
        <sz val="9"/>
        <color rgb="FF888888"/>
        <rFont val="Arial"/>
        <family val="0"/>
        <charset val="1"/>
      </rPr>
      <t xml:space="preserve">1570.0</t>
    </r>
    <r>
      <rPr>
        <i val="true"/>
        <sz val="9"/>
        <color rgb="FF888888"/>
        <rFont val="Noto Sans CJK SC"/>
        <family val="2"/>
      </rPr>
      <t xml:space="preserve">元 </t>
    </r>
    <r>
      <rPr>
        <i val="true"/>
        <sz val="9"/>
        <color rgb="FF888888"/>
        <rFont val="Arial"/>
        <family val="0"/>
        <charset val="1"/>
      </rPr>
      <t xml:space="preserve">+4.56%</t>
    </r>
    <r>
      <rPr>
        <i val="true"/>
        <sz val="9"/>
        <color rgb="FF888888"/>
        <rFont val="Noto Sans CJK SC"/>
        <family val="2"/>
      </rPr>
      <t xml:space="preserve">，本益比</t>
    </r>
    <r>
      <rPr>
        <i val="true"/>
        <sz val="9"/>
        <color rgb="FF888888"/>
        <rFont val="Arial"/>
        <family val="0"/>
        <charset val="1"/>
      </rPr>
      <t xml:space="preserve">113.44x</t>
    </r>
    <r>
      <rPr>
        <i val="true"/>
        <sz val="9"/>
        <color rgb="FF888888"/>
        <rFont val="Noto Sans CJK SC"/>
        <family val="2"/>
      </rPr>
      <t xml:space="preserve">（同業平均</t>
    </r>
    <r>
      <rPr>
        <i val="true"/>
        <sz val="9"/>
        <color rgb="FF888888"/>
        <rFont val="Arial"/>
        <family val="0"/>
        <charset val="1"/>
      </rPr>
      <t xml:space="preserve">111.25x</t>
    </r>
    <r>
      <rPr>
        <i val="true"/>
        <sz val="9"/>
        <color rgb="FF888888"/>
        <rFont val="Noto Sans CJK SC"/>
        <family val="2"/>
      </rPr>
      <t xml:space="preserve">），</t>
    </r>
    <r>
      <rPr>
        <i val="true"/>
        <sz val="9"/>
        <color rgb="FF888888"/>
        <rFont val="Arial"/>
        <family val="0"/>
        <charset val="1"/>
      </rPr>
      <t xml:space="preserve">Claude in Chrome</t>
    </r>
    <r>
      <rPr>
        <i val="true"/>
        <sz val="9"/>
        <color rgb="FF888888"/>
        <rFont val="Noto Sans CJK SC"/>
        <family val="2"/>
      </rPr>
      <t xml:space="preserve">抓取</t>
    </r>
  </si>
  <si>
    <t xml:space="preserve">估值基準</t>
  </si>
  <si>
    <r>
      <rPr>
        <sz val="10"/>
        <color rgb="FF000000"/>
        <rFont val="Noto Sans CJK SC"/>
        <family val="2"/>
      </rPr>
      <t xml:space="preserve">基期</t>
    </r>
    <r>
      <rPr>
        <sz val="10"/>
        <color rgb="FF000000"/>
        <rFont val="Arial"/>
        <family val="0"/>
        <charset val="1"/>
      </rPr>
      <t xml:space="preserve">EPS</t>
    </r>
  </si>
  <si>
    <r>
      <rPr>
        <sz val="10"/>
        <color rgb="FF000000"/>
        <rFont val="Arial"/>
        <family val="0"/>
        <charset val="1"/>
      </rPr>
      <t xml:space="preserve">12.13 </t>
    </r>
    <r>
      <rPr>
        <sz val="10"/>
        <color rgb="FF000000"/>
        <rFont val="Noto Sans CJK SC"/>
        <family val="2"/>
      </rPr>
      <t xml:space="preserve">元（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</si>
  <si>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</t>
    </r>
    <r>
      <rPr>
        <i val="true"/>
        <sz val="9"/>
        <color rgb="FF888888"/>
        <rFont val="Arial"/>
        <family val="0"/>
        <charset val="1"/>
      </rPr>
      <t xml:space="preserve">EPS 12.13</t>
    </r>
    <r>
      <rPr>
        <i val="true"/>
        <sz val="9"/>
        <color rgb="FF888888"/>
        <rFont val="Noto Sans CJK SC"/>
        <family val="2"/>
      </rPr>
      <t xml:space="preserve">元，來源</t>
    </r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</t>
    </r>
    <r>
      <rPr>
        <i val="true"/>
        <sz val="9"/>
        <color rgb="FF888888"/>
        <rFont val="Arial"/>
        <family val="0"/>
        <charset val="1"/>
      </rPr>
      <t xml:space="preserve">/uanalyze</t>
    </r>
    <r>
      <rPr>
        <i val="true"/>
        <sz val="9"/>
        <color rgb="FF888888"/>
        <rFont val="Noto Sans CJK SC"/>
        <family val="2"/>
      </rPr>
      <t xml:space="preserve">年度共識一致</t>
    </r>
  </si>
  <si>
    <r>
      <rPr>
        <sz val="10"/>
        <color rgb="FF000000"/>
        <rFont val="Arial"/>
        <family val="0"/>
        <charset val="1"/>
      </rPr>
      <t xml:space="preserve">ELL+SLL </t>
    </r>
    <r>
      <rPr>
        <sz val="10"/>
        <color rgb="FF000000"/>
        <rFont val="Noto Sans CJK SC"/>
        <family val="2"/>
      </rPr>
      <t xml:space="preserve">超低損耗材料（對應</t>
    </r>
    <r>
      <rPr>
        <sz val="10"/>
        <color rgb="FF000000"/>
        <rFont val="Arial"/>
        <family val="0"/>
        <charset val="1"/>
      </rPr>
      <t xml:space="preserve">800G</t>
    </r>
    <r>
      <rPr>
        <sz val="10"/>
        <color rgb="FF000000"/>
        <rFont val="Noto Sans CJK SC"/>
        <family val="2"/>
      </rPr>
      <t xml:space="preserve">交換器</t>
    </r>
    <r>
      <rPr>
        <sz val="10"/>
        <color rgb="FF000000"/>
        <rFont val="Arial"/>
        <family val="0"/>
        <charset val="1"/>
      </rPr>
      <t xml:space="preserve">/AI ASIC</t>
    </r>
    <r>
      <rPr>
        <sz val="10"/>
        <color rgb="FF000000"/>
        <rFont val="Noto Sans CJK SC"/>
        <family val="2"/>
      </rPr>
      <t xml:space="preserve">） 成長率</t>
    </r>
  </si>
  <si>
    <t xml:space="preserve">135% / 100% / 65%</t>
  </si>
  <si>
    <r>
      <rPr>
        <i val="true"/>
        <sz val="9"/>
        <color rgb="FF888888"/>
        <rFont val="Arial"/>
        <family val="0"/>
        <charset val="1"/>
      </rPr>
      <t xml:space="preserve">26Q1</t>
    </r>
    <r>
      <rPr>
        <i val="true"/>
        <sz val="9"/>
        <color rgb="FF888888"/>
        <rFont val="Noto Sans CJK SC"/>
        <family val="2"/>
      </rPr>
      <t xml:space="preserve">法說會揭露產品結構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佔營收</t>
    </r>
    <r>
      <rPr>
        <i val="true"/>
        <sz val="9"/>
        <color rgb="FF888888"/>
        <rFont val="Arial"/>
        <family val="0"/>
        <charset val="1"/>
      </rPr>
      <t xml:space="preserve">38%</t>
    </r>
    <r>
      <rPr>
        <i val="true"/>
        <sz val="9"/>
        <color rgb="FF888888"/>
        <rFont val="Noto Sans CJK SC"/>
        <family val="2"/>
      </rPr>
      <t xml:space="preserve">（來源</t>
    </r>
    <r>
      <rPr>
        <i val="true"/>
        <sz val="9"/>
        <color rgb="FF888888"/>
        <rFont val="Arial"/>
        <family val="0"/>
        <charset val="1"/>
      </rPr>
      <t xml:space="preserve">aistockmap.com AI</t>
    </r>
    <r>
      <rPr>
        <i val="true"/>
        <sz val="9"/>
        <color rgb="FF888888"/>
        <rFont val="Noto Sans CJK SC"/>
        <family val="2"/>
      </rPr>
      <t xml:space="preserve">智慧產業地圖，</t>
    </r>
    <r>
      <rPr>
        <i val="true"/>
        <sz val="9"/>
        <color rgb="FF888888"/>
        <rFont val="Arial"/>
        <family val="0"/>
        <charset val="1"/>
      </rPr>
      <t xml:space="preserve">2026-07-10</t>
    </r>
    <r>
      <rPr>
        <i val="true"/>
        <sz val="9"/>
        <color rgb="FF888888"/>
        <rFont val="Noto Sans CJK SC"/>
        <family val="2"/>
      </rPr>
      <t xml:space="preserve">抓取）；以此比例反推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全年營收</t>
    </r>
    <r>
      <rPr>
        <i val="true"/>
        <sz val="9"/>
        <color rgb="FF888888"/>
        <rFont val="Arial"/>
        <family val="0"/>
        <charset val="1"/>
      </rPr>
      <t xml:space="preserve">303.4</t>
    </r>
    <r>
      <rPr>
        <i val="true"/>
        <sz val="9"/>
        <color rgb="FF888888"/>
        <rFont val="Noto Sans CJK SC"/>
        <family val="2"/>
      </rPr>
      <t xml:space="preserve">億元之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分項</t>
    </r>
    <r>
      <rPr>
        <i val="true"/>
        <sz val="9"/>
        <color rgb="FF888888"/>
        <rFont val="Arial"/>
        <family val="0"/>
        <charset val="1"/>
      </rPr>
      <t xml:space="preserve">=303.4×38%=115.29</t>
    </r>
    <r>
      <rPr>
        <i val="true"/>
        <sz val="9"/>
        <color rgb="FF888888"/>
        <rFont val="Noto Sans CJK SC"/>
        <family val="2"/>
      </rPr>
      <t xml:space="preserve">億（推估，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年報未逐產品線揭露，假設</t>
    </r>
    <r>
      <rPr>
        <i val="true"/>
        <sz val="9"/>
        <color rgb="FF888888"/>
        <rFont val="Arial"/>
        <family val="0"/>
        <charset val="1"/>
      </rPr>
      <t xml:space="preserve">26Q1</t>
    </r>
    <r>
      <rPr>
        <i val="true"/>
        <sz val="9"/>
        <color rgb="FF888888"/>
        <rFont val="Noto Sans CJK SC"/>
        <family val="2"/>
      </rPr>
      <t xml:space="preserve">結構近似全年結構）；</t>
    </r>
    <r>
      <rPr>
        <i val="true"/>
        <sz val="9"/>
        <color rgb="FF888888"/>
        <rFont val="Arial"/>
        <family val="0"/>
        <charset val="1"/>
      </rPr>
      <t xml:space="preserve">2026-2028</t>
    </r>
    <r>
      <rPr>
        <i val="true"/>
        <sz val="9"/>
        <color rgb="FF888888"/>
        <rFont val="Noto Sans CJK SC"/>
        <family val="2"/>
      </rPr>
      <t xml:space="preserve">成長率設為</t>
    </r>
    <r>
      <rPr>
        <i val="true"/>
        <sz val="9"/>
        <color rgb="FF888888"/>
        <rFont val="Arial"/>
        <family val="0"/>
        <charset val="1"/>
      </rPr>
      <t xml:space="preserve">135%/100%/65%</t>
    </r>
    <r>
      <rPr>
        <i val="true"/>
        <sz val="9"/>
        <color rgb="FF888888"/>
        <rFont val="Noto Sans CJK SC"/>
        <family val="2"/>
      </rPr>
      <t xml:space="preserve">，反映高階材料佔比持續提升敘事（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佔總營收比重由</t>
    </r>
    <r>
      <rPr>
        <i val="true"/>
        <sz val="9"/>
        <color rgb="FF888888"/>
        <rFont val="Arial"/>
        <family val="0"/>
        <charset val="1"/>
      </rPr>
      <t xml:space="preserve">38%→45.3%→51.1%→54.3%</t>
    </r>
    <r>
      <rPr>
        <i val="true"/>
        <sz val="9"/>
        <color rgb="FF888888"/>
        <rFont val="Noto Sans CJK SC"/>
        <family val="2"/>
      </rPr>
      <t xml:space="preserve">），使四線加總營收貼近法人共識</t>
    </r>
    <r>
      <rPr>
        <i val="true"/>
        <sz val="9"/>
        <color rgb="FF888888"/>
        <rFont val="Arial"/>
        <family val="0"/>
        <charset val="1"/>
      </rPr>
      <t xml:space="preserve">(599.35/1048.29/1611.84</t>
    </r>
    <r>
      <rPr>
        <i val="true"/>
        <sz val="9"/>
        <color rgb="FF888888"/>
        <rFont val="Noto Sans CJK SC"/>
        <family val="2"/>
      </rPr>
      <t xml:space="preserve">億元，模型加總誤差</t>
    </r>
    <r>
      <rPr>
        <i val="true"/>
        <sz val="9"/>
        <color rgb="FF888888"/>
        <rFont val="Arial"/>
        <family val="0"/>
        <charset val="1"/>
      </rPr>
      <t xml:space="preserve">-0.3%/+1.2%/+2.2%</t>
    </r>
    <r>
      <rPr>
        <i val="true"/>
        <sz val="9"/>
        <color rgb="FF888888"/>
        <rFont val="Noto Sans CJK SC"/>
        <family val="2"/>
      </rPr>
      <t xml:space="preserve">，均在</t>
    </r>
    <r>
      <rPr>
        <i val="true"/>
        <sz val="9"/>
        <color rgb="FF888888"/>
        <rFont val="Arial"/>
        <family val="0"/>
        <charset val="1"/>
      </rPr>
      <t xml:space="preserve">±5%</t>
    </r>
    <r>
      <rPr>
        <i val="true"/>
        <sz val="9"/>
        <color rgb="FF888888"/>
        <rFont val="Noto Sans CJK SC"/>
        <family val="2"/>
      </rPr>
      <t xml:space="preserve">容許範圍內</t>
    </r>
    <r>
      <rPr>
        <i val="true"/>
        <sz val="9"/>
        <color rgb="FF888888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</si>
  <si>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營收→</t>
    </r>
    <r>
      <rPr>
        <sz val="10"/>
        <color rgb="FF000000"/>
        <rFont val="Arial"/>
        <family val="0"/>
        <charset val="1"/>
      </rPr>
      <t xml:space="preserve">EPS</t>
    </r>
  </si>
  <si>
    <r>
      <rPr>
        <sz val="10"/>
        <color rgb="FF000000"/>
        <rFont val="Arial"/>
        <family val="0"/>
        <charset val="1"/>
      </rPr>
      <t xml:space="preserve">VLL+LL </t>
    </r>
    <r>
      <rPr>
        <sz val="10"/>
        <color rgb="FF000000"/>
        <rFont val="Noto Sans CJK SC"/>
        <family val="2"/>
      </rPr>
      <t xml:space="preserve">低損耗材料 成長率</t>
    </r>
  </si>
  <si>
    <t xml:space="preserve">90% / 65% / 50%</t>
  </si>
  <si>
    <r>
      <rPr>
        <i val="true"/>
        <sz val="9"/>
        <color rgb="FF888888"/>
        <rFont val="Noto Sans CJK SC"/>
        <family val="2"/>
      </rPr>
      <t xml:space="preserve">同上圖反推</t>
    </r>
    <r>
      <rPr>
        <i val="true"/>
        <sz val="9"/>
        <color rgb="FF888888"/>
        <rFont val="Arial"/>
        <family val="0"/>
        <charset val="1"/>
      </rPr>
      <t xml:space="preserve">VLL+LL</t>
    </r>
    <r>
      <rPr>
        <i val="true"/>
        <sz val="9"/>
        <color rgb="FF888888"/>
        <rFont val="Noto Sans CJK SC"/>
        <family val="2"/>
      </rPr>
      <t xml:space="preserve">佔比</t>
    </r>
    <r>
      <rPr>
        <i val="true"/>
        <sz val="9"/>
        <color rgb="FF888888"/>
        <rFont val="Arial"/>
        <family val="0"/>
        <charset val="1"/>
      </rPr>
      <t xml:space="preserve">32%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</t>
    </r>
    <r>
      <rPr>
        <i val="true"/>
        <sz val="9"/>
        <color rgb="FF888888"/>
        <rFont val="Arial"/>
        <family val="0"/>
        <charset val="1"/>
      </rPr>
      <t xml:space="preserve">=303.4×32%=97.09</t>
    </r>
    <r>
      <rPr>
        <i val="true"/>
        <sz val="9"/>
        <color rgb="FF888888"/>
        <rFont val="Noto Sans CJK SC"/>
        <family val="2"/>
      </rPr>
      <t xml:space="preserve">億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推估，同上假設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；</t>
    </r>
    <r>
      <rPr>
        <i val="true"/>
        <sz val="9"/>
        <color rgb="FF888888"/>
        <rFont val="Arial"/>
        <family val="0"/>
        <charset val="1"/>
      </rPr>
      <t xml:space="preserve">2026-2028</t>
    </r>
    <r>
      <rPr>
        <i val="true"/>
        <sz val="9"/>
        <color rgb="FF888888"/>
        <rFont val="Noto Sans CJK SC"/>
        <family val="2"/>
      </rPr>
      <t xml:space="preserve">成長率</t>
    </r>
    <r>
      <rPr>
        <i val="true"/>
        <sz val="9"/>
        <color rgb="FF888888"/>
        <rFont val="Arial"/>
        <family val="0"/>
        <charset val="1"/>
      </rPr>
      <t xml:space="preserve">90%/65%/50%</t>
    </r>
    <r>
      <rPr>
        <i val="true"/>
        <sz val="9"/>
        <color rgb="FF888888"/>
        <rFont val="Noto Sans CJK SC"/>
        <family val="2"/>
      </rPr>
      <t xml:space="preserve">，次於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但仍受惠整體高速傳輸材料需求</t>
    </r>
  </si>
  <si>
    <r>
      <rPr>
        <sz val="10"/>
        <color rgb="FF000000"/>
        <rFont val="Arial"/>
        <family val="0"/>
        <charset val="1"/>
      </rPr>
      <t xml:space="preserve">HDI+N-LL </t>
    </r>
    <r>
      <rPr>
        <sz val="10"/>
        <color rgb="FF000000"/>
        <rFont val="Noto Sans CJK SC"/>
        <family val="2"/>
      </rPr>
      <t xml:space="preserve">成長率</t>
    </r>
  </si>
  <si>
    <t xml:space="preserve">60% / 55% / 40%</t>
  </si>
  <si>
    <r>
      <rPr>
        <i val="true"/>
        <sz val="9"/>
        <color rgb="FF888888"/>
        <rFont val="Noto Sans CJK SC"/>
        <family val="2"/>
      </rPr>
      <t xml:space="preserve">同上圖反推</t>
    </r>
    <r>
      <rPr>
        <i val="true"/>
        <sz val="9"/>
        <color rgb="FF888888"/>
        <rFont val="Arial"/>
        <family val="0"/>
        <charset val="1"/>
      </rPr>
      <t xml:space="preserve">HDI+N-LL</t>
    </r>
    <r>
      <rPr>
        <i val="true"/>
        <sz val="9"/>
        <color rgb="FF888888"/>
        <rFont val="Noto Sans CJK SC"/>
        <family val="2"/>
      </rPr>
      <t xml:space="preserve">佔比</t>
    </r>
    <r>
      <rPr>
        <i val="true"/>
        <sz val="9"/>
        <color rgb="FF888888"/>
        <rFont val="Arial"/>
        <family val="0"/>
        <charset val="1"/>
      </rPr>
      <t xml:space="preserve">18%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</t>
    </r>
    <r>
      <rPr>
        <i val="true"/>
        <sz val="9"/>
        <color rgb="FF888888"/>
        <rFont val="Arial"/>
        <family val="0"/>
        <charset val="1"/>
      </rPr>
      <t xml:space="preserve">=303.4×18%=54.61</t>
    </r>
    <r>
      <rPr>
        <i val="true"/>
        <sz val="9"/>
        <color rgb="FF888888"/>
        <rFont val="Noto Sans CJK SC"/>
        <family val="2"/>
      </rPr>
      <t xml:space="preserve">億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推估，同上假設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；</t>
    </r>
    <r>
      <rPr>
        <i val="true"/>
        <sz val="9"/>
        <color rgb="FF888888"/>
        <rFont val="Arial"/>
        <family val="0"/>
        <charset val="1"/>
      </rPr>
      <t xml:space="preserve">2026-2028</t>
    </r>
    <r>
      <rPr>
        <i val="true"/>
        <sz val="9"/>
        <color rgb="FF888888"/>
        <rFont val="Noto Sans CJK SC"/>
        <family val="2"/>
      </rPr>
      <t xml:space="preserve">成長率</t>
    </r>
    <r>
      <rPr>
        <i val="true"/>
        <sz val="9"/>
        <color rgb="FF888888"/>
        <rFont val="Arial"/>
        <family val="0"/>
        <charset val="1"/>
      </rPr>
      <t xml:space="preserve">60%/55%/40%</t>
    </r>
    <r>
      <rPr>
        <i val="true"/>
        <sz val="9"/>
        <color rgb="FF888888"/>
        <rFont val="Noto Sans CJK SC"/>
        <family val="2"/>
      </rPr>
      <t xml:space="preserve">，成熟產品線成長動能較低階材料放緩</t>
    </r>
  </si>
  <si>
    <t xml:space="preserve">其他 成長率</t>
  </si>
  <si>
    <t xml:space="preserve">50% / 45% / 35%</t>
  </si>
  <si>
    <r>
      <rPr>
        <i val="true"/>
        <sz val="9"/>
        <color rgb="FF888888"/>
        <rFont val="Noto Sans CJK SC"/>
        <family val="2"/>
      </rPr>
      <t xml:space="preserve">同上圖反推其他佔比</t>
    </r>
    <r>
      <rPr>
        <i val="true"/>
        <sz val="9"/>
        <color rgb="FF888888"/>
        <rFont val="Arial"/>
        <family val="0"/>
        <charset val="1"/>
      </rPr>
      <t xml:space="preserve">12%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</t>
    </r>
    <r>
      <rPr>
        <i val="true"/>
        <sz val="9"/>
        <color rgb="FF888888"/>
        <rFont val="Arial"/>
        <family val="0"/>
        <charset val="1"/>
      </rPr>
      <t xml:space="preserve">=303.4×12%=36.41</t>
    </r>
    <r>
      <rPr>
        <i val="true"/>
        <sz val="9"/>
        <color rgb="FF888888"/>
        <rFont val="Noto Sans CJK SC"/>
        <family val="2"/>
      </rPr>
      <t xml:space="preserve">億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推估，同上假設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；</t>
    </r>
    <r>
      <rPr>
        <i val="true"/>
        <sz val="9"/>
        <color rgb="FF888888"/>
        <rFont val="Arial"/>
        <family val="0"/>
        <charset val="1"/>
      </rPr>
      <t xml:space="preserve">2026-2028</t>
    </r>
    <r>
      <rPr>
        <i val="true"/>
        <sz val="9"/>
        <color rgb="FF888888"/>
        <rFont val="Noto Sans CJK SC"/>
        <family val="2"/>
      </rPr>
      <t xml:space="preserve">成長率</t>
    </r>
    <r>
      <rPr>
        <i val="true"/>
        <sz val="9"/>
        <color rgb="FF888888"/>
        <rFont val="Arial"/>
        <family val="0"/>
        <charset val="1"/>
      </rPr>
      <t xml:space="preserve">50%/45%/35%</t>
    </r>
    <r>
      <rPr>
        <i val="true"/>
        <sz val="9"/>
        <color rgb="FF888888"/>
        <rFont val="Noto Sans CJK SC"/>
        <family val="2"/>
      </rPr>
      <t xml:space="preserve">，隨整體需求成長但佔比逐年稀釋</t>
    </r>
  </si>
  <si>
    <t xml:space="preserve">毛利率路徑</t>
  </si>
  <si>
    <t xml:space="preserve">29.0% / 32.0% / 35.0%</t>
  </si>
  <si>
    <r>
      <rPr>
        <i val="true"/>
        <sz val="9"/>
        <color rgb="FF888888"/>
        <rFont val="Arial"/>
        <family val="0"/>
        <charset val="1"/>
      </rPr>
      <t xml:space="preserve">26Q1</t>
    </r>
    <r>
      <rPr>
        <i val="true"/>
        <sz val="9"/>
        <color rgb="FF888888"/>
        <rFont val="Noto Sans CJK SC"/>
        <family val="2"/>
      </rPr>
      <t xml:space="preserve">法說會實際毛利率</t>
    </r>
    <r>
      <rPr>
        <i val="true"/>
        <sz val="9"/>
        <color rgb="FF888888"/>
        <rFont val="Arial"/>
        <family val="0"/>
        <charset val="1"/>
      </rPr>
      <t xml:space="preserve">25.15%</t>
    </r>
    <r>
      <rPr>
        <i val="true"/>
        <sz val="9"/>
        <color rgb="FF888888"/>
        <rFont val="Noto Sans CJK SC"/>
        <family val="2"/>
      </rPr>
      <t xml:space="preserve">為起點；為貼近法人共識</t>
    </r>
    <r>
      <rPr>
        <i val="true"/>
        <sz val="9"/>
        <color rgb="FF888888"/>
        <rFont val="Arial"/>
        <family val="0"/>
        <charset val="1"/>
      </rPr>
      <t xml:space="preserve">EPS</t>
    </r>
    <r>
      <rPr>
        <i val="true"/>
        <sz val="9"/>
        <color rgb="FF888888"/>
        <rFont val="Noto Sans CJK SC"/>
        <family val="2"/>
      </rPr>
      <t xml:space="preserve">陡峭成長軌跡</t>
    </r>
    <r>
      <rPr>
        <i val="true"/>
        <sz val="9"/>
        <color rgb="FF888888"/>
        <rFont val="Arial"/>
        <family val="0"/>
        <charset val="1"/>
      </rPr>
      <t xml:space="preserve">(YoY+117%/+69%/+69%)</t>
    </r>
    <r>
      <rPr>
        <i val="true"/>
        <sz val="9"/>
        <color rgb="FF888888"/>
        <rFont val="Noto Sans CJK SC"/>
        <family val="2"/>
      </rPr>
      <t xml:space="preserve">，模型毛利率路徑設定</t>
    </r>
    <r>
      <rPr>
        <i val="true"/>
        <sz val="9"/>
        <color rgb="FF888888"/>
        <rFont val="Arial"/>
        <family val="0"/>
        <charset val="1"/>
      </rPr>
      <t xml:space="preserve">29%/32%/35%</t>
    </r>
    <r>
      <rPr>
        <i val="true"/>
        <sz val="9"/>
        <color rgb="FF888888"/>
        <rFont val="Noto Sans CJK SC"/>
        <family val="2"/>
      </rPr>
      <t xml:space="preserve">（隨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高毛利產品線佔比由</t>
    </r>
    <r>
      <rPr>
        <i val="true"/>
        <sz val="9"/>
        <color rgb="FF888888"/>
        <rFont val="Arial"/>
        <family val="0"/>
        <charset val="1"/>
      </rPr>
      <t xml:space="preserve">38%</t>
    </r>
    <r>
      <rPr>
        <i val="true"/>
        <sz val="9"/>
        <color rgb="FF888888"/>
        <rFont val="Noto Sans CJK SC"/>
        <family val="2"/>
      </rPr>
      <t xml:space="preserve">快速提升至</t>
    </r>
    <r>
      <rPr>
        <i val="true"/>
        <sz val="9"/>
        <color rgb="FF888888"/>
        <rFont val="Arial"/>
        <family val="0"/>
        <charset val="1"/>
      </rPr>
      <t xml:space="preserve">54.3%</t>
    </r>
    <r>
      <rPr>
        <i val="true"/>
        <sz val="9"/>
        <color rgb="FF888888"/>
        <rFont val="Noto Sans CJK SC"/>
        <family val="2"/>
      </rPr>
      <t xml:space="preserve">，帶動整體毛利率結構性上升，此為合理但尚未經公司逐產品線利潤率證實之推估）；此路徑高於</t>
    </r>
    <r>
      <rPr>
        <i val="true"/>
        <sz val="9"/>
        <color rgb="FF888888"/>
        <rFont val="Arial"/>
        <family val="0"/>
        <charset val="1"/>
      </rPr>
      <t xml:space="preserve">Wallace</t>
    </r>
    <r>
      <rPr>
        <i val="true"/>
        <sz val="9"/>
        <color rgb="FF888888"/>
        <rFont val="Noto Sans CJK SC"/>
        <family val="2"/>
      </rPr>
      <t xml:space="preserve">原先「基本情境毛利率</t>
    </r>
    <r>
      <rPr>
        <i val="true"/>
        <sz val="9"/>
        <color rgb="FF888888"/>
        <rFont val="Arial"/>
        <family val="0"/>
        <charset val="1"/>
      </rPr>
      <t xml:space="preserve">25-27%</t>
    </r>
    <r>
      <rPr>
        <i val="true"/>
        <sz val="9"/>
        <color rgb="FF888888"/>
        <rFont val="Noto Sans CJK SC"/>
        <family val="2"/>
      </rPr>
      <t xml:space="preserve">」的敘事假設，兩者存在張力——若僅維持</t>
    </r>
    <r>
      <rPr>
        <i val="true"/>
        <sz val="9"/>
        <color rgb="FF888888"/>
        <rFont val="Arial"/>
        <family val="0"/>
        <charset val="1"/>
      </rPr>
      <t xml:space="preserve">25-27%</t>
    </r>
    <r>
      <rPr>
        <i val="true"/>
        <sz val="9"/>
        <color rgb="FF888888"/>
        <rFont val="Noto Sans CJK SC"/>
        <family val="2"/>
      </rPr>
      <t xml:space="preserve">毛利率，反推所需營業費用率將趨近於</t>
    </r>
    <r>
      <rPr>
        <i val="true"/>
        <sz val="9"/>
        <color rgb="FF888888"/>
        <rFont val="Arial"/>
        <family val="0"/>
        <charset val="1"/>
      </rPr>
      <t xml:space="preserve">0%</t>
    </r>
    <r>
      <rPr>
        <i val="true"/>
        <sz val="9"/>
        <color rgb="FF888888"/>
        <rFont val="Noto Sans CJK SC"/>
        <family val="2"/>
      </rPr>
      <t xml:space="preserve">（不合理），故改以毛利率上修來吸收法人共識隱含的營運槓桿效果，詳見</t>
    </r>
    <r>
      <rPr>
        <i val="true"/>
        <sz val="9"/>
        <color rgb="FF888888"/>
        <rFont val="Arial"/>
        <family val="0"/>
        <charset val="1"/>
      </rPr>
      <t xml:space="preserve">0_</t>
    </r>
    <r>
      <rPr>
        <i val="true"/>
        <sz val="9"/>
        <color rgb="FF888888"/>
        <rFont val="Noto Sans CJK SC"/>
        <family val="2"/>
      </rPr>
      <t xml:space="preserve">變量總覽分頁「模型</t>
    </r>
    <r>
      <rPr>
        <i val="true"/>
        <sz val="9"/>
        <color rgb="FF888888"/>
        <rFont val="Arial"/>
        <family val="0"/>
        <charset val="1"/>
      </rPr>
      <t xml:space="preserve">EPS vs</t>
    </r>
    <r>
      <rPr>
        <i val="true"/>
        <sz val="9"/>
        <color rgb="FF888888"/>
        <rFont val="Noto Sans CJK SC"/>
        <family val="2"/>
      </rPr>
      <t xml:space="preserve">法人共識誤差」列說明；未超過</t>
    </r>
    <r>
      <rPr>
        <i val="true"/>
        <sz val="9"/>
        <color rgb="FF888888"/>
        <rFont val="Arial"/>
        <family val="0"/>
        <charset val="1"/>
      </rPr>
      <t xml:space="preserve">40%</t>
    </r>
    <r>
      <rPr>
        <i val="true"/>
        <sz val="9"/>
        <color rgb="FF888888"/>
        <rFont val="Noto Sans CJK SC"/>
        <family val="2"/>
      </rPr>
      <t xml:space="preserve">上限</t>
    </r>
  </si>
  <si>
    <t xml:space="preserve">EPS</t>
  </si>
  <si>
    <r>
      <rPr>
        <sz val="10"/>
        <color rgb="FF000000"/>
        <rFont val="Noto Sans CJK SC"/>
        <family val="2"/>
      </rPr>
      <t xml:space="preserve">目標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區間</t>
    </r>
  </si>
  <si>
    <t xml:space="preserve">45.0x - 50.0x</t>
  </si>
  <si>
    <r>
      <rPr>
        <i val="true"/>
        <sz val="9"/>
        <color rgb="FF888888"/>
        <rFont val="Noto Sans CJK SC"/>
        <family val="2"/>
      </rPr>
      <t xml:space="preserve">基本情境目標</t>
    </r>
    <r>
      <rPr>
        <i val="true"/>
        <sz val="9"/>
        <color rgb="FF888888"/>
        <rFont val="Arial"/>
        <family val="0"/>
        <charset val="1"/>
      </rPr>
      <t xml:space="preserve">PE 45-50x</t>
    </r>
    <r>
      <rPr>
        <i val="true"/>
        <sz val="9"/>
        <color rgb="FF888888"/>
        <rFont val="Noto Sans CJK SC"/>
        <family val="2"/>
      </rPr>
      <t xml:space="preserve">，相對法人共識</t>
    </r>
    <r>
      <rPr>
        <i val="true"/>
        <sz val="9"/>
        <color rgb="FF888888"/>
        <rFont val="Arial"/>
        <family val="0"/>
        <charset val="1"/>
      </rPr>
      <t xml:space="preserve">2027F EPS 76.4</t>
    </r>
    <r>
      <rPr>
        <i val="true"/>
        <sz val="9"/>
        <color rgb="FF888888"/>
        <rFont val="Noto Sans CJK SC"/>
        <family val="2"/>
      </rPr>
      <t xml:space="preserve">元計算之</t>
    </r>
    <r>
      <rPr>
        <i val="true"/>
        <sz val="9"/>
        <color rgb="FF888888"/>
        <rFont val="Arial"/>
        <family val="0"/>
        <charset val="1"/>
      </rPr>
      <t xml:space="preserve">forward PE</t>
    </r>
    <r>
      <rPr>
        <i val="true"/>
        <sz val="9"/>
        <color rgb="FF888888"/>
        <rFont val="Noto Sans CJK SC"/>
        <family val="2"/>
      </rPr>
      <t xml:space="preserve">，反映部分本益比壓縮但仍認可高成長；現況台燿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台光電</t>
    </r>
    <r>
      <rPr>
        <i val="true"/>
        <sz val="9"/>
        <color rgb="FF888888"/>
        <rFont val="Arial"/>
        <family val="0"/>
        <charset val="1"/>
      </rPr>
      <t xml:space="preserve">(2383)/</t>
    </r>
    <r>
      <rPr>
        <i val="true"/>
        <sz val="9"/>
        <color rgb="FF888888"/>
        <rFont val="Noto Sans CJK SC"/>
        <family val="2"/>
      </rPr>
      <t xml:space="preserve">聯茂</t>
    </r>
    <r>
      <rPr>
        <i val="true"/>
        <sz val="9"/>
        <color rgb="FF888888"/>
        <rFont val="Arial"/>
        <family val="0"/>
        <charset val="1"/>
      </rPr>
      <t xml:space="preserve">(6213)</t>
    </r>
    <r>
      <rPr>
        <i val="true"/>
        <sz val="9"/>
        <color rgb="FF888888"/>
        <rFont val="Noto Sans CJK SC"/>
        <family val="2"/>
      </rPr>
      <t xml:space="preserve">三檔</t>
    </r>
    <r>
      <rPr>
        <i val="true"/>
        <sz val="9"/>
        <color rgb="FF888888"/>
        <rFont val="Arial"/>
        <family val="0"/>
        <charset val="1"/>
      </rPr>
      <t xml:space="preserve">CCL</t>
    </r>
    <r>
      <rPr>
        <i val="true"/>
        <sz val="9"/>
        <color rgb="FF888888"/>
        <rFont val="Noto Sans CJK SC"/>
        <family val="2"/>
      </rPr>
      <t xml:space="preserve">廠</t>
    </r>
    <r>
      <rPr>
        <i val="true"/>
        <sz val="9"/>
        <color rgb="FF888888"/>
        <rFont val="Arial"/>
        <family val="0"/>
        <charset val="1"/>
      </rPr>
      <t xml:space="preserve">trailing PE</t>
    </r>
    <r>
      <rPr>
        <i val="true"/>
        <sz val="9"/>
        <color rgb="FF888888"/>
        <rFont val="Noto Sans CJK SC"/>
        <family val="2"/>
      </rPr>
      <t xml:space="preserve">分別</t>
    </r>
    <r>
      <rPr>
        <i val="true"/>
        <sz val="9"/>
        <color rgb="FF888888"/>
        <rFont val="Arial"/>
        <family val="0"/>
        <charset val="1"/>
      </rPr>
      <t xml:space="preserve">113.44x/114.86x/94.13x(2026/07/09</t>
    </r>
    <r>
      <rPr>
        <i val="true"/>
        <sz val="9"/>
        <color rgb="FF888888"/>
        <rFont val="Noto Sans CJK SC"/>
        <family val="2"/>
      </rPr>
      <t xml:space="preserve">收盤，</t>
    </r>
    <r>
      <rPr>
        <i val="true"/>
        <sz val="9"/>
        <color rgb="FF888888"/>
        <rFont val="Arial"/>
        <family val="0"/>
        <charset val="1"/>
      </rPr>
      <t xml:space="preserve">Chrome</t>
    </r>
    <r>
      <rPr>
        <i val="true"/>
        <sz val="9"/>
        <color rgb="FF888888"/>
        <rFont val="Noto Sans CJK SC"/>
        <family val="2"/>
      </rPr>
      <t xml:space="preserve">抓取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，全產業均在</t>
    </r>
    <r>
      <rPr>
        <i val="true"/>
        <sz val="9"/>
        <color rgb="FF888888"/>
        <rFont val="Arial"/>
        <family val="0"/>
        <charset val="1"/>
      </rPr>
      <t xml:space="preserve">94-115x</t>
    </r>
    <r>
      <rPr>
        <i val="true"/>
        <sz val="9"/>
        <color rgb="FF888888"/>
        <rFont val="Noto Sans CJK SC"/>
        <family val="2"/>
      </rPr>
      <t xml:space="preserve">高檔</t>
    </r>
  </si>
  <si>
    <t xml:space="preserve">目標價</t>
  </si>
  <si>
    <r>
      <rPr>
        <sz val="10"/>
        <color rgb="FF000000"/>
        <rFont val="Noto Sans CJK SC"/>
        <family val="2"/>
      </rPr>
      <t xml:space="preserve">現況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基準</t>
    </r>
  </si>
  <si>
    <t xml:space="preserve">113.44x</t>
  </si>
  <si>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</t>
    </r>
    <r>
      <rPr>
        <i val="true"/>
        <sz val="9"/>
        <color rgb="FF888888"/>
        <rFont val="Arial"/>
        <family val="0"/>
        <charset val="1"/>
      </rPr>
      <t xml:space="preserve">2026/07/09</t>
    </r>
    <r>
      <rPr>
        <i val="true"/>
        <sz val="9"/>
        <color rgb="FF888888"/>
        <rFont val="Noto Sans CJK SC"/>
        <family val="2"/>
      </rPr>
      <t xml:space="preserve">收盤：</t>
    </r>
    <r>
      <rPr>
        <i val="true"/>
        <sz val="9"/>
        <color rgb="FF888888"/>
        <rFont val="Arial"/>
        <family val="0"/>
        <charset val="1"/>
      </rPr>
      <t xml:space="preserve">1570.0</t>
    </r>
    <r>
      <rPr>
        <i val="true"/>
        <sz val="9"/>
        <color rgb="FF888888"/>
        <rFont val="Noto Sans CJK SC"/>
        <family val="2"/>
      </rPr>
      <t xml:space="preserve">元，本益比</t>
    </r>
    <r>
      <rPr>
        <i val="true"/>
        <sz val="9"/>
        <color rgb="FF888888"/>
        <rFont val="Arial"/>
        <family val="0"/>
        <charset val="1"/>
      </rPr>
      <t xml:space="preserve">113.44x</t>
    </r>
    <r>
      <rPr>
        <i val="true"/>
        <sz val="9"/>
        <color rgb="FF888888"/>
        <rFont val="Noto Sans CJK SC"/>
        <family val="2"/>
      </rPr>
      <t xml:space="preserve">（同業平均</t>
    </r>
    <r>
      <rPr>
        <i val="true"/>
        <sz val="9"/>
        <color rgb="FF888888"/>
        <rFont val="Arial"/>
        <family val="0"/>
        <charset val="1"/>
      </rPr>
      <t xml:space="preserve">111.25x</t>
    </r>
    <r>
      <rPr>
        <i val="true"/>
        <sz val="9"/>
        <color rgb="FF888888"/>
        <rFont val="Noto Sans CJK SC"/>
        <family val="2"/>
      </rPr>
      <t xml:space="preserve">），</t>
    </r>
    <r>
      <rPr>
        <i val="true"/>
        <sz val="9"/>
        <color rgb="FF888888"/>
        <rFont val="Arial"/>
        <family val="0"/>
        <charset val="1"/>
      </rPr>
      <t xml:space="preserve">Claude in Chrome</t>
    </r>
    <r>
      <rPr>
        <i val="true"/>
        <sz val="9"/>
        <color rgb="FF888888"/>
        <rFont val="Noto Sans CJK SC"/>
        <family val="2"/>
      </rPr>
      <t xml:space="preserve">抓取</t>
    </r>
  </si>
  <si>
    <t xml:space="preserve">對照組</t>
  </si>
  <si>
    <t xml:space="preserve">產業平均成長率</t>
  </si>
  <si>
    <t xml:space="preserve">19%</t>
  </si>
  <si>
    <r>
      <rPr>
        <i val="true"/>
        <sz val="9"/>
        <color rgb="FF888888"/>
        <rFont val="Noto Sans CJK SC"/>
        <family val="2"/>
      </rPr>
      <t xml:space="preserve">產業（</t>
    </r>
    <r>
      <rPr>
        <i val="true"/>
        <sz val="9"/>
        <color rgb="FF888888"/>
        <rFont val="Arial"/>
        <family val="0"/>
        <charset val="1"/>
      </rPr>
      <t xml:space="preserve">CCL/</t>
    </r>
    <r>
      <rPr>
        <i val="true"/>
        <sz val="9"/>
        <color rgb="FF888888"/>
        <rFont val="Noto Sans CJK SC"/>
        <family val="2"/>
      </rPr>
      <t xml:space="preserve">高階材料）近期成長動能強勁但無精確產業平均數字，推估</t>
    </r>
    <r>
      <rPr>
        <i val="true"/>
        <sz val="9"/>
        <color rgb="FF888888"/>
        <rFont val="Arial"/>
        <family val="0"/>
        <charset val="1"/>
      </rPr>
      <t xml:space="preserve">18%-20%</t>
    </r>
    <r>
      <rPr>
        <i val="true"/>
        <sz val="9"/>
        <color rgb="FF888888"/>
        <rFont val="Noto Sans CJK SC"/>
        <family val="2"/>
      </rPr>
      <t xml:space="preserve">取中</t>
    </r>
    <r>
      <rPr>
        <i val="true"/>
        <sz val="9"/>
        <color rgb="FF888888"/>
        <rFont val="Arial"/>
        <family val="0"/>
        <charset val="1"/>
      </rPr>
      <t xml:space="preserve">19%</t>
    </r>
    <r>
      <rPr>
        <i val="true"/>
        <sz val="9"/>
        <color rgb="FF888888"/>
        <rFont val="Noto Sans CJK SC"/>
        <family val="2"/>
      </rPr>
      <t xml:space="preserve">，缺乏</t>
    </r>
    <r>
      <rPr>
        <i val="true"/>
        <sz val="9"/>
        <color rgb="FF888888"/>
        <rFont val="Arial"/>
        <family val="0"/>
        <charset val="1"/>
      </rPr>
      <t xml:space="preserve">TrendForce/Gartner</t>
    </r>
    <r>
      <rPr>
        <i val="true"/>
        <sz val="9"/>
        <color rgb="FF888888"/>
        <rFont val="Noto Sans CJK SC"/>
        <family val="2"/>
      </rPr>
      <t xml:space="preserve">等第三方數字</t>
    </r>
  </si>
  <si>
    <t xml:space="preserve">隱含成長率檢核</t>
  </si>
  <si>
    <r>
      <rPr>
        <sz val="10"/>
        <color rgb="FF000000"/>
        <rFont val="Noto Sans CJK SC"/>
        <family val="2"/>
      </rPr>
      <t xml:space="preserve">法人共識</t>
    </r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來源確認（爭議澄清）</t>
    </r>
  </si>
  <si>
    <r>
      <rPr>
        <sz val="10"/>
        <color rgb="FF000000"/>
        <rFont val="Noto Sans CJK SC"/>
        <family val="2"/>
      </rPr>
      <t xml:space="preserve">採</t>
    </r>
    <r>
      <rPr>
        <sz val="10"/>
        <color rgb="FF000000"/>
        <rFont val="Arial"/>
        <family val="0"/>
        <charset val="1"/>
      </rPr>
      <t xml:space="preserve">35.27/76.4/128.95</t>
    </r>
    <r>
      <rPr>
        <sz val="10"/>
        <color rgb="FF000000"/>
        <rFont val="Noto Sans CJK SC"/>
        <family val="2"/>
      </rPr>
      <t xml:space="preserve">元（</t>
    </r>
    <r>
      <rPr>
        <sz val="10"/>
        <color rgb="FF000000"/>
        <rFont val="Arial"/>
        <family val="0"/>
        <charset val="1"/>
      </rPr>
      <t xml:space="preserve">2026-2028F</t>
    </r>
    <r>
      <rPr>
        <sz val="10"/>
        <color rgb="FF000000"/>
        <rFont val="Noto Sans CJK SC"/>
        <family val="2"/>
      </rPr>
      <t xml:space="preserve">）</t>
    </r>
  </si>
  <si>
    <r>
      <rPr>
        <i val="true"/>
        <sz val="9"/>
        <color rgb="FF888888"/>
        <rFont val="Noto Sans CJK SC"/>
        <family val="2"/>
      </rPr>
      <t xml:space="preserve">估值變量確認關卡過程中曾出現兩組法人共識矛盾數字</t>
    </r>
    <r>
      <rPr>
        <i val="true"/>
        <sz val="9"/>
        <color rgb="FF888888"/>
        <rFont val="Arial"/>
        <family val="0"/>
        <charset val="1"/>
      </rPr>
      <t xml:space="preserve">(18.22</t>
    </r>
    <r>
      <rPr>
        <i val="true"/>
        <sz val="9"/>
        <color rgb="FF888888"/>
        <rFont val="Noto Sans CJK SC"/>
        <family val="2"/>
      </rPr>
      <t xml:space="preserve">元 </t>
    </r>
    <r>
      <rPr>
        <i val="true"/>
        <sz val="9"/>
        <color rgb="FF888888"/>
        <rFont val="Arial"/>
        <family val="0"/>
        <charset val="1"/>
      </rPr>
      <t xml:space="preserve">vs 35.27</t>
    </r>
    <r>
      <rPr>
        <i val="true"/>
        <sz val="9"/>
        <color rgb="FF888888"/>
        <rFont val="Noto Sans CJK SC"/>
        <family val="2"/>
      </rPr>
      <t xml:space="preserve">元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；經</t>
    </r>
    <r>
      <rPr>
        <i val="true"/>
        <sz val="9"/>
        <color rgb="FF888888"/>
        <rFont val="Arial"/>
        <family val="0"/>
        <charset val="1"/>
      </rPr>
      <t xml:space="preserve">Wallace</t>
    </r>
    <r>
      <rPr>
        <i val="true"/>
        <sz val="9"/>
        <color rgb="FF888888"/>
        <rFont val="Noto Sans CJK SC"/>
        <family val="2"/>
      </rPr>
      <t xml:space="preserve">親自截圖優分析</t>
    </r>
    <r>
      <rPr>
        <i val="true"/>
        <sz val="9"/>
        <color rgb="FF888888"/>
        <rFont val="Arial"/>
        <family val="0"/>
        <charset val="1"/>
      </rPr>
      <t xml:space="preserve">uanalyze</t>
    </r>
    <r>
      <rPr>
        <i val="true"/>
        <sz val="9"/>
        <color rgb="FF888888"/>
        <rFont val="Noto Sans CJK SC"/>
        <family val="2"/>
      </rPr>
      <t xml:space="preserve">網站圖表確認，</t>
    </r>
    <r>
      <rPr>
        <i val="true"/>
        <sz val="9"/>
        <color rgb="FF888888"/>
        <rFont val="Arial"/>
        <family val="0"/>
        <charset val="1"/>
      </rPr>
      <t xml:space="preserve">2026F EPS</t>
    </r>
    <r>
      <rPr>
        <i val="true"/>
        <sz val="9"/>
        <color rgb="FF888888"/>
        <rFont val="Noto Sans CJK SC"/>
        <family val="2"/>
      </rPr>
      <t xml:space="preserve">採</t>
    </r>
    <r>
      <rPr>
        <i val="true"/>
        <sz val="9"/>
        <color rgb="FF888888"/>
        <rFont val="Arial"/>
        <family val="0"/>
        <charset val="1"/>
      </rPr>
      <t xml:space="preserve">35.27</t>
    </r>
    <r>
      <rPr>
        <i val="true"/>
        <sz val="9"/>
        <color rgb="FF888888"/>
        <rFont val="Noto Sans CJK SC"/>
        <family val="2"/>
      </rPr>
      <t xml:space="preserve">元一組為準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法人平均預估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，本模型全數以此組數字為錨點</t>
    </r>
  </si>
  <si>
    <r>
      <rPr>
        <sz val="10"/>
        <color rgb="FF000000"/>
        <rFont val="Noto Sans CJK SC"/>
        <family val="2"/>
      </rPr>
      <t xml:space="preserve">估值基準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風險揭露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</si>
  <si>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EPS vs </t>
    </r>
    <r>
      <rPr>
        <sz val="10"/>
        <color rgb="FF000000"/>
        <rFont val="Noto Sans CJK SC"/>
        <family val="2"/>
      </rPr>
      <t xml:space="preserve">法人共識誤差</t>
    </r>
  </si>
  <si>
    <r>
      <rPr>
        <sz val="10"/>
        <color rgb="FF000000"/>
        <rFont val="Arial"/>
        <family val="0"/>
        <charset val="1"/>
      </rPr>
      <t xml:space="preserve">2026:-2.8%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2027:-6.9%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2028:-1.9%</t>
    </r>
    <r>
      <rPr>
        <sz val="10"/>
        <color rgb="FF000000"/>
        <rFont val="Noto Sans CJK SC"/>
        <family val="2"/>
      </rPr>
      <t xml:space="preserve">（模型</t>
    </r>
    <r>
      <rPr>
        <sz val="10"/>
        <color rgb="FF000000"/>
        <rFont val="Arial"/>
        <family val="0"/>
        <charset val="1"/>
      </rPr>
      <t xml:space="preserve">34.27/71.15/126.45</t>
    </r>
    <r>
      <rPr>
        <sz val="10"/>
        <color rgb="FF000000"/>
        <rFont val="Noto Sans CJK SC"/>
        <family val="2"/>
      </rPr>
      <t xml:space="preserve">元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共識</t>
    </r>
    <r>
      <rPr>
        <sz val="10"/>
        <color rgb="FF000000"/>
        <rFont val="Arial"/>
        <family val="0"/>
        <charset val="1"/>
      </rPr>
      <t xml:space="preserve">35.27/76.4/128.95</t>
    </r>
    <r>
      <rPr>
        <sz val="10"/>
        <color rgb="FF000000"/>
        <rFont val="Noto Sans CJK SC"/>
        <family val="2"/>
      </rPr>
      <t xml:space="preserve">元）</t>
    </r>
  </si>
  <si>
    <r>
      <rPr>
        <i val="true"/>
        <sz val="9"/>
        <color rgb="FF888888"/>
        <rFont val="Noto Sans CJK SC"/>
        <family val="2"/>
      </rPr>
      <t xml:space="preserve">基本情境模型算出</t>
    </r>
    <r>
      <rPr>
        <i val="true"/>
        <sz val="9"/>
        <color rgb="FF888888"/>
        <rFont val="Arial"/>
        <family val="0"/>
        <charset val="1"/>
      </rPr>
      <t xml:space="preserve">EPS</t>
    </r>
    <r>
      <rPr>
        <i val="true"/>
        <sz val="9"/>
        <color rgb="FF888888"/>
        <rFont val="Noto Sans CJK SC"/>
        <family val="2"/>
      </rPr>
      <t xml:space="preserve">為</t>
    </r>
    <r>
      <rPr>
        <i val="true"/>
        <sz val="9"/>
        <color rgb="FF888888"/>
        <rFont val="Arial"/>
        <family val="0"/>
        <charset val="1"/>
      </rPr>
      <t xml:space="preserve">34.27/71.15/126.45</t>
    </r>
    <r>
      <rPr>
        <i val="true"/>
        <sz val="9"/>
        <color rgb="FF888888"/>
        <rFont val="Noto Sans CJK SC"/>
        <family val="2"/>
      </rPr>
      <t xml:space="preserve">元，均在</t>
    </r>
    <r>
      <rPr>
        <i val="true"/>
        <sz val="9"/>
        <color rgb="FF888888"/>
        <rFont val="Arial"/>
        <family val="0"/>
        <charset val="1"/>
      </rPr>
      <t xml:space="preserve">±10%</t>
    </r>
    <r>
      <rPr>
        <i val="true"/>
        <sz val="9"/>
        <color rgb="FF888888"/>
        <rFont val="Noto Sans CJK SC"/>
        <family val="2"/>
      </rPr>
      <t xml:space="preserve">容許誤差內；因需貼近法人共識隱含之陡峭</t>
    </r>
    <r>
      <rPr>
        <i val="true"/>
        <sz val="9"/>
        <color rgb="FF888888"/>
        <rFont val="Arial"/>
        <family val="0"/>
        <charset val="1"/>
      </rPr>
      <t xml:space="preserve">EPS</t>
    </r>
    <r>
      <rPr>
        <i val="true"/>
        <sz val="9"/>
        <color rgb="FF888888"/>
        <rFont val="Noto Sans CJK SC"/>
        <family val="2"/>
      </rPr>
      <t xml:space="preserve">成長</t>
    </r>
    <r>
      <rPr>
        <i val="true"/>
        <sz val="9"/>
        <color rgb="FF888888"/>
        <rFont val="Arial"/>
        <family val="0"/>
        <charset val="1"/>
      </rPr>
      <t xml:space="preserve">(YoY+117%/+69%/+69%</t>
    </r>
    <r>
      <rPr>
        <i val="true"/>
        <sz val="9"/>
        <color rgb="FF888888"/>
        <rFont val="Noto Sans CJK SC"/>
        <family val="2"/>
      </rPr>
      <t xml:space="preserve">，遠快於營收成長</t>
    </r>
    <r>
      <rPr>
        <i val="true"/>
        <sz val="9"/>
        <color rgb="FF888888"/>
        <rFont val="Arial"/>
        <family val="0"/>
        <charset val="1"/>
      </rPr>
      <t xml:space="preserve">74.9%/53.75%)</t>
    </r>
    <r>
      <rPr>
        <i val="true"/>
        <sz val="9"/>
        <color rgb="FF888888"/>
        <rFont val="Noto Sans CJK SC"/>
        <family val="2"/>
      </rPr>
      <t xml:space="preserve">，模型將毛利率路徑上修至</t>
    </r>
    <r>
      <rPr>
        <i val="true"/>
        <sz val="9"/>
        <color rgb="FF888888"/>
        <rFont val="Arial"/>
        <family val="0"/>
        <charset val="1"/>
      </rPr>
      <t xml:space="preserve">29%/32%/35%</t>
    </r>
    <r>
      <rPr>
        <i val="true"/>
        <sz val="9"/>
        <color rgb="FF888888"/>
        <rFont val="Noto Sans CJK SC"/>
        <family val="2"/>
      </rPr>
      <t xml:space="preserve">（高於</t>
    </r>
    <r>
      <rPr>
        <i val="true"/>
        <sz val="9"/>
        <color rgb="FF888888"/>
        <rFont val="Arial"/>
        <family val="0"/>
        <charset val="1"/>
      </rPr>
      <t xml:space="preserve">26Q1</t>
    </r>
    <r>
      <rPr>
        <i val="true"/>
        <sz val="9"/>
        <color rgb="FF888888"/>
        <rFont val="Noto Sans CJK SC"/>
        <family val="2"/>
      </rPr>
      <t xml:space="preserve">實際</t>
    </r>
    <r>
      <rPr>
        <i val="true"/>
        <sz val="9"/>
        <color rgb="FF888888"/>
        <rFont val="Arial"/>
        <family val="0"/>
        <charset val="1"/>
      </rPr>
      <t xml:space="preserve">25.15%</t>
    </r>
    <r>
      <rPr>
        <i val="true"/>
        <sz val="9"/>
        <color rgb="FF888888"/>
        <rFont val="Noto Sans CJK SC"/>
        <family val="2"/>
      </rPr>
      <t xml:space="preserve">及</t>
    </r>
    <r>
      <rPr>
        <i val="true"/>
        <sz val="9"/>
        <color rgb="FF888888"/>
        <rFont val="Arial"/>
        <family val="0"/>
        <charset val="1"/>
      </rPr>
      <t xml:space="preserve">Wallace</t>
    </r>
    <r>
      <rPr>
        <i val="true"/>
        <sz val="9"/>
        <color rgb="FF888888"/>
        <rFont val="Noto Sans CJK SC"/>
        <family val="2"/>
      </rPr>
      <t xml:space="preserve">原假設</t>
    </r>
    <r>
      <rPr>
        <i val="true"/>
        <sz val="9"/>
        <color rgb="FF888888"/>
        <rFont val="Arial"/>
        <family val="0"/>
        <charset val="1"/>
      </rPr>
      <t xml:space="preserve">25-27%</t>
    </r>
    <r>
      <rPr>
        <i val="true"/>
        <sz val="9"/>
        <color rgb="FF888888"/>
        <rFont val="Noto Sans CJK SC"/>
        <family val="2"/>
      </rPr>
      <t xml:space="preserve">），反映法人共識已隱含強烈營運槓桿與產品組合升級效果；此為模型已知偏誤來源，非逐產品線利潤率公司揭露數字驗證，待未來法說會分部毛利率公布後校準</t>
    </r>
  </si>
  <si>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計算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已知限制</t>
    </r>
  </si>
  <si>
    <t xml:space="preserve">紅隊財務體質風險</t>
  </si>
  <si>
    <r>
      <rPr>
        <sz val="10"/>
        <color rgb="FF000000"/>
        <rFont val="Arial"/>
        <family val="0"/>
        <charset val="1"/>
      </rPr>
      <t xml:space="preserve">FCF</t>
    </r>
    <r>
      <rPr>
        <sz val="10"/>
        <color rgb="FF000000"/>
        <rFont val="Noto Sans CJK SC"/>
        <family val="2"/>
      </rPr>
      <t xml:space="preserve">連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季轉負／負債比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個月</t>
    </r>
    <r>
      <rPr>
        <sz val="10"/>
        <color rgb="FF000000"/>
        <rFont val="Arial"/>
        <family val="0"/>
        <charset val="1"/>
      </rPr>
      <t xml:space="preserve">40%→59.2%</t>
    </r>
    <r>
      <rPr>
        <sz val="10"/>
        <color rgb="FF000000"/>
        <rFont val="Noto Sans CJK SC"/>
        <family val="2"/>
      </rPr>
      <t xml:space="preserve">／存貨週轉率減半</t>
    </r>
  </si>
  <si>
    <r>
      <rPr>
        <i val="true"/>
        <sz val="9"/>
        <color rgb="FF888888"/>
        <rFont val="Noto Sans CJK SC"/>
        <family val="2"/>
      </rPr>
      <t xml:space="preserve">盈餘品質疑慮，保守情境已據此將毛利率下修至</t>
    </r>
    <r>
      <rPr>
        <i val="true"/>
        <sz val="9"/>
        <color rgb="FF888888"/>
        <rFont val="Arial"/>
        <family val="0"/>
        <charset val="1"/>
      </rPr>
      <t xml:space="preserve">22-23%</t>
    </r>
    <r>
      <rPr>
        <i val="true"/>
        <sz val="9"/>
        <color rgb="FF888888"/>
        <rFont val="Noto Sans CJK SC"/>
        <family val="2"/>
      </rPr>
      <t xml:space="preserve">、營收成長打</t>
    </r>
    <r>
      <rPr>
        <i val="true"/>
        <sz val="9"/>
        <color rgb="FF888888"/>
        <rFont val="Arial"/>
        <family val="0"/>
        <charset val="1"/>
      </rPr>
      <t xml:space="preserve">6-7</t>
    </r>
    <r>
      <rPr>
        <i val="true"/>
        <sz val="9"/>
        <color rgb="FF888888"/>
        <rFont val="Noto Sans CJK SC"/>
        <family val="2"/>
      </rPr>
      <t xml:space="preserve">折反映</t>
    </r>
  </si>
  <si>
    <t xml:space="preserve">保守情境依據</t>
  </si>
  <si>
    <t xml:space="preserve">紅隊技術面風險</t>
  </si>
  <si>
    <r>
      <rPr>
        <sz val="10"/>
        <color rgb="FF000000"/>
        <rFont val="Noto Sans CJK SC"/>
        <family val="2"/>
      </rPr>
      <t xml:space="preserve">週</t>
    </r>
    <r>
      <rPr>
        <sz val="10"/>
        <color rgb="FF000000"/>
        <rFont val="Arial"/>
        <family val="0"/>
        <charset val="1"/>
      </rPr>
      <t xml:space="preserve">RSI</t>
    </r>
    <r>
      <rPr>
        <sz val="10"/>
        <color rgb="FF000000"/>
        <rFont val="Noto Sans CJK SC"/>
        <family val="2"/>
      </rPr>
      <t xml:space="preserve">頂背離／</t>
    </r>
    <r>
      <rPr>
        <sz val="10"/>
        <color rgb="FF000000"/>
        <rFont val="Arial"/>
        <family val="0"/>
        <charset val="1"/>
      </rPr>
      <t xml:space="preserve">KD</t>
    </r>
    <r>
      <rPr>
        <sz val="10"/>
        <color rgb="FF000000"/>
        <rFont val="Noto Sans CJK SC"/>
        <family val="2"/>
      </rPr>
      <t xml:space="preserve">死叉／</t>
    </r>
    <r>
      <rPr>
        <sz val="10"/>
        <color rgb="FF000000"/>
        <rFont val="Arial"/>
        <family val="0"/>
        <charset val="1"/>
      </rPr>
      <t xml:space="preserve">MACD</t>
    </r>
    <r>
      <rPr>
        <sz val="10"/>
        <color rgb="FF000000"/>
        <rFont val="Noto Sans CJK SC"/>
        <family val="2"/>
      </rPr>
      <t xml:space="preserve">收斂／</t>
    </r>
    <r>
      <rPr>
        <sz val="10"/>
        <color rgb="FF000000"/>
        <rFont val="Arial"/>
        <family val="0"/>
        <charset val="1"/>
      </rPr>
      <t xml:space="preserve">OBV</t>
    </r>
    <r>
      <rPr>
        <sz val="10"/>
        <color rgb="FF000000"/>
        <rFont val="Noto Sans CJK SC"/>
        <family val="2"/>
      </rPr>
      <t xml:space="preserve">走弱，正上方</t>
    </r>
    <r>
      <rPr>
        <sz val="10"/>
        <color rgb="FF000000"/>
        <rFont val="Arial"/>
        <family val="0"/>
        <charset val="1"/>
      </rPr>
      <t xml:space="preserve">1598-1694</t>
    </r>
    <r>
      <rPr>
        <sz val="10"/>
        <color rgb="FF000000"/>
        <rFont val="Noto Sans CJK SC"/>
        <family val="2"/>
      </rPr>
      <t xml:space="preserve">元套牢帶</t>
    </r>
  </si>
  <si>
    <r>
      <rPr>
        <i val="true"/>
        <sz val="9"/>
        <color rgb="FF888888"/>
        <rFont val="Noto Sans CJK SC"/>
        <family val="2"/>
      </rPr>
      <t xml:space="preserve">為保守情境目標</t>
    </r>
    <r>
      <rPr>
        <i val="true"/>
        <sz val="9"/>
        <color rgb="FF888888"/>
        <rFont val="Arial"/>
        <family val="0"/>
        <charset val="1"/>
      </rPr>
      <t xml:space="preserve">PE</t>
    </r>
    <r>
      <rPr>
        <i val="true"/>
        <sz val="9"/>
        <color rgb="FF888888"/>
        <rFont val="Noto Sans CJK SC"/>
        <family val="2"/>
      </rPr>
      <t xml:space="preserve">壓至</t>
    </r>
    <r>
      <rPr>
        <i val="true"/>
        <sz val="9"/>
        <color rgb="FF888888"/>
        <rFont val="Arial"/>
        <family val="0"/>
        <charset val="1"/>
      </rPr>
      <t xml:space="preserve">25-30x(</t>
    </r>
    <r>
      <rPr>
        <i val="true"/>
        <sz val="9"/>
        <color rgb="FF888888"/>
        <rFont val="Noto Sans CJK SC"/>
        <family val="2"/>
      </rPr>
      <t xml:space="preserve">戴維斯雙殺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之主要理由</t>
    </r>
  </si>
  <si>
    <r>
      <rPr>
        <sz val="10"/>
        <color rgb="FF000000"/>
        <rFont val="Noto Sans CJK SC"/>
        <family val="2"/>
      </rPr>
      <t xml:space="preserve">保守情境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依據</t>
    </r>
  </si>
  <si>
    <r>
      <rPr>
        <b val="true"/>
        <sz val="14"/>
        <color rgb="FF1A2540"/>
        <rFont val="Noto Sans CJK SC"/>
        <family val="2"/>
      </rPr>
      <t xml:space="preserve">估值輸入區 — 台燿（</t>
    </r>
    <r>
      <rPr>
        <b val="true"/>
        <sz val="14"/>
        <color rgb="FF1A2540"/>
        <rFont val="Arial"/>
        <family val="0"/>
        <charset val="1"/>
      </rPr>
      <t xml:space="preserve">6274</t>
    </r>
    <r>
      <rPr>
        <b val="true"/>
        <sz val="14"/>
        <color rgb="FF1A2540"/>
        <rFont val="Noto Sans CJK SC"/>
        <family val="2"/>
      </rPr>
      <t xml:space="preserve">）</t>
    </r>
  </si>
  <si>
    <r>
      <rPr>
        <i val="true"/>
        <sz val="9"/>
        <color rgb="FF888888"/>
        <rFont val="Noto Sans CJK SC"/>
        <family val="2"/>
      </rPr>
      <t xml:space="preserve">報告日期 </t>
    </r>
    <r>
      <rPr>
        <i val="true"/>
        <sz val="9"/>
        <color rgb="FF888888"/>
        <rFont val="Arial"/>
        <family val="0"/>
        <charset val="1"/>
      </rPr>
      <t xml:space="preserve">20260710</t>
    </r>
    <r>
      <rPr>
        <i val="true"/>
        <sz val="9"/>
        <color rgb="FF888888"/>
        <rFont val="Noto Sans CJK SC"/>
        <family val="2"/>
      </rPr>
      <t xml:space="preserve">｜藍字黃底＝可自行改動，改動後全表即時重算</t>
    </r>
  </si>
  <si>
    <t xml:space="preserve">① 基本資料</t>
  </si>
  <si>
    <t xml:space="preserve">現價（元）</t>
  </si>
  <si>
    <r>
      <rPr>
        <i val="true"/>
        <sz val="9"/>
        <color rgb="FF888888"/>
        <rFont val="Noto Sans CJK SC"/>
        <family val="2"/>
      </rPr>
      <t xml:space="preserve">來源：</t>
    </r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 </t>
    </r>
    <r>
      <rPr>
        <i val="true"/>
        <sz val="9"/>
        <color rgb="FF888888"/>
        <rFont val="Arial"/>
        <family val="0"/>
        <charset val="1"/>
      </rPr>
      <t xml:space="preserve">2026/07/09</t>
    </r>
    <r>
      <rPr>
        <i val="true"/>
        <sz val="9"/>
        <color rgb="FF888888"/>
        <rFont val="Noto Sans CJK SC"/>
        <family val="2"/>
      </rPr>
      <t xml:space="preserve">收盤</t>
    </r>
    <r>
      <rPr>
        <i val="true"/>
        <sz val="9"/>
        <color rgb="FF888888"/>
        <rFont val="Arial"/>
        <family val="0"/>
        <charset val="1"/>
      </rPr>
      <t xml:space="preserve">1570.0</t>
    </r>
    <r>
      <rPr>
        <i val="true"/>
        <sz val="9"/>
        <color rgb="FF888888"/>
        <rFont val="Noto Sans CJK SC"/>
        <family val="2"/>
      </rPr>
      <t xml:space="preserve">元 </t>
    </r>
    <r>
      <rPr>
        <i val="true"/>
        <sz val="9"/>
        <color rgb="FF888888"/>
        <rFont val="Arial"/>
        <family val="0"/>
        <charset val="1"/>
      </rPr>
      <t xml:space="preserve">+4.56%</t>
    </r>
    <r>
      <rPr>
        <i val="true"/>
        <sz val="9"/>
        <color rgb="FF888888"/>
        <rFont val="Noto Sans CJK SC"/>
        <family val="2"/>
      </rPr>
      <t xml:space="preserve">，本益比</t>
    </r>
    <r>
      <rPr>
        <i val="true"/>
        <sz val="9"/>
        <color rgb="FF888888"/>
        <rFont val="Arial"/>
        <family val="0"/>
        <charset val="1"/>
      </rPr>
      <t xml:space="preserve">113.44x</t>
    </r>
    <r>
      <rPr>
        <i val="true"/>
        <sz val="9"/>
        <color rgb="FF888888"/>
        <rFont val="Noto Sans CJK SC"/>
        <family val="2"/>
      </rPr>
      <t xml:space="preserve">（同業平均</t>
    </r>
    <r>
      <rPr>
        <i val="true"/>
        <sz val="9"/>
        <color rgb="FF888888"/>
        <rFont val="Arial"/>
        <family val="0"/>
        <charset val="1"/>
      </rPr>
      <t xml:space="preserve">111.25x</t>
    </r>
    <r>
      <rPr>
        <i val="true"/>
        <sz val="9"/>
        <color rgb="FF888888"/>
        <rFont val="Noto Sans CJK SC"/>
        <family val="2"/>
      </rPr>
      <t xml:space="preserve">），</t>
    </r>
    <r>
      <rPr>
        <i val="true"/>
        <sz val="9"/>
        <color rgb="FF888888"/>
        <rFont val="Arial"/>
        <family val="0"/>
        <charset val="1"/>
      </rPr>
      <t xml:space="preserve">Claude in Chrome</t>
    </r>
    <r>
      <rPr>
        <i val="true"/>
        <sz val="9"/>
        <color rgb="FF888888"/>
        <rFont val="Noto Sans CJK SC"/>
        <family val="2"/>
      </rPr>
      <t xml:space="preserve">抓取</t>
    </r>
  </si>
  <si>
    <t xml:space="preserve">在外流通股數（億股）</t>
  </si>
  <si>
    <r>
      <rPr>
        <i val="true"/>
        <sz val="9"/>
        <color rgb="FF888888"/>
        <rFont val="Noto Sans CJK SC"/>
        <family val="2"/>
      </rPr>
      <t xml:space="preserve">來源：已發行普通股數</t>
    </r>
    <r>
      <rPr>
        <i val="true"/>
        <sz val="9"/>
        <color rgb="FF888888"/>
        <rFont val="Arial"/>
        <family val="0"/>
        <charset val="1"/>
      </rPr>
      <t xml:space="preserve">288,774,637</t>
    </r>
    <r>
      <rPr>
        <i val="true"/>
        <sz val="9"/>
        <color rgb="FF888888"/>
        <rFont val="Noto Sans CJK SC"/>
        <family val="2"/>
      </rPr>
      <t xml:space="preserve">股，來源</t>
    </r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股市基本資料</t>
    </r>
    <r>
      <rPr>
        <i val="true"/>
        <sz val="9"/>
        <color rgb="FF888888"/>
        <rFont val="Arial"/>
        <family val="0"/>
        <charset val="1"/>
      </rPr>
      <t xml:space="preserve">2026/07/10</t>
    </r>
  </si>
  <si>
    <t xml:space="preserve">基期年度</t>
  </si>
  <si>
    <t xml:space="preserve">2025</t>
  </si>
  <si>
    <r>
      <rPr>
        <sz val="10"/>
        <color rgb="FF000000"/>
        <rFont val="Noto Sans CJK SC"/>
        <family val="2"/>
      </rPr>
      <t xml:space="preserve">基期 </t>
    </r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（元）</t>
    </r>
  </si>
  <si>
    <r>
      <rPr>
        <i val="true"/>
        <sz val="9"/>
        <color rgb="FF888888"/>
        <rFont val="Noto Sans CJK SC"/>
        <family val="2"/>
      </rPr>
      <t xml:space="preserve">來源：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</t>
    </r>
    <r>
      <rPr>
        <i val="true"/>
        <sz val="9"/>
        <color rgb="FF888888"/>
        <rFont val="Arial"/>
        <family val="0"/>
        <charset val="1"/>
      </rPr>
      <t xml:space="preserve">EPS 12.13</t>
    </r>
    <r>
      <rPr>
        <i val="true"/>
        <sz val="9"/>
        <color rgb="FF888888"/>
        <rFont val="Noto Sans CJK SC"/>
        <family val="2"/>
      </rPr>
      <t xml:space="preserve">元，來源</t>
    </r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</t>
    </r>
    <r>
      <rPr>
        <i val="true"/>
        <sz val="9"/>
        <color rgb="FF888888"/>
        <rFont val="Arial"/>
        <family val="0"/>
        <charset val="1"/>
      </rPr>
      <t xml:space="preserve">/uanalyze</t>
    </r>
    <r>
      <rPr>
        <i val="true"/>
        <sz val="9"/>
        <color rgb="FF888888"/>
        <rFont val="Noto Sans CJK SC"/>
        <family val="2"/>
      </rPr>
      <t xml:space="preserve">年度共識一致</t>
    </r>
  </si>
  <si>
    <t xml:space="preserve">② 營收假設（億元）</t>
  </si>
  <si>
    <t xml:space="preserve">產品線</t>
  </si>
  <si>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基期營收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</si>
  <si>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成長率</t>
    </r>
  </si>
  <si>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成長率</t>
    </r>
  </si>
  <si>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成長率</t>
    </r>
  </si>
  <si>
    <t xml:space="preserve">來源備註</t>
  </si>
  <si>
    <r>
      <rPr>
        <sz val="10"/>
        <color rgb="FF000000"/>
        <rFont val="Arial"/>
        <family val="0"/>
        <charset val="1"/>
      </rPr>
      <t xml:space="preserve">ELL+SLL </t>
    </r>
    <r>
      <rPr>
        <sz val="10"/>
        <color rgb="FF000000"/>
        <rFont val="Noto Sans CJK SC"/>
        <family val="2"/>
      </rPr>
      <t xml:space="preserve">超低損耗材料（對應</t>
    </r>
    <r>
      <rPr>
        <sz val="10"/>
        <color rgb="FF000000"/>
        <rFont val="Arial"/>
        <family val="0"/>
        <charset val="1"/>
      </rPr>
      <t xml:space="preserve">800G</t>
    </r>
    <r>
      <rPr>
        <sz val="10"/>
        <color rgb="FF000000"/>
        <rFont val="Noto Sans CJK SC"/>
        <family val="2"/>
      </rPr>
      <t xml:space="preserve">交換器</t>
    </r>
    <r>
      <rPr>
        <sz val="10"/>
        <color rgb="FF000000"/>
        <rFont val="Arial"/>
        <family val="0"/>
        <charset val="1"/>
      </rPr>
      <t xml:space="preserve">/AI ASIC</t>
    </r>
    <r>
      <rPr>
        <sz val="10"/>
        <color rgb="FF000000"/>
        <rFont val="Noto Sans CJK SC"/>
        <family val="2"/>
      </rPr>
      <t xml:space="preserve">）</t>
    </r>
  </si>
  <si>
    <r>
      <rPr>
        <i val="true"/>
        <sz val="9"/>
        <color rgb="FF888888"/>
        <rFont val="Noto Sans CJK SC"/>
        <family val="2"/>
      </rPr>
      <t xml:space="preserve">來源：</t>
    </r>
    <r>
      <rPr>
        <i val="true"/>
        <sz val="9"/>
        <color rgb="FF888888"/>
        <rFont val="Arial"/>
        <family val="0"/>
        <charset val="1"/>
      </rPr>
      <t xml:space="preserve">26Q1</t>
    </r>
    <r>
      <rPr>
        <i val="true"/>
        <sz val="9"/>
        <color rgb="FF888888"/>
        <rFont val="Noto Sans CJK SC"/>
        <family val="2"/>
      </rPr>
      <t xml:space="preserve">法說會揭露產品結構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佔營收</t>
    </r>
    <r>
      <rPr>
        <i val="true"/>
        <sz val="9"/>
        <color rgb="FF888888"/>
        <rFont val="Arial"/>
        <family val="0"/>
        <charset val="1"/>
      </rPr>
      <t xml:space="preserve">38%</t>
    </r>
    <r>
      <rPr>
        <i val="true"/>
        <sz val="9"/>
        <color rgb="FF888888"/>
        <rFont val="Noto Sans CJK SC"/>
        <family val="2"/>
      </rPr>
      <t xml:space="preserve">（來源</t>
    </r>
    <r>
      <rPr>
        <i val="true"/>
        <sz val="9"/>
        <color rgb="FF888888"/>
        <rFont val="Arial"/>
        <family val="0"/>
        <charset val="1"/>
      </rPr>
      <t xml:space="preserve">aistockmap.com AI</t>
    </r>
    <r>
      <rPr>
        <i val="true"/>
        <sz val="9"/>
        <color rgb="FF888888"/>
        <rFont val="Noto Sans CJK SC"/>
        <family val="2"/>
      </rPr>
      <t xml:space="preserve">智慧產業地圖，</t>
    </r>
    <r>
      <rPr>
        <i val="true"/>
        <sz val="9"/>
        <color rgb="FF888888"/>
        <rFont val="Arial"/>
        <family val="0"/>
        <charset val="1"/>
      </rPr>
      <t xml:space="preserve">2026-07-10</t>
    </r>
    <r>
      <rPr>
        <i val="true"/>
        <sz val="9"/>
        <color rgb="FF888888"/>
        <rFont val="Noto Sans CJK SC"/>
        <family val="2"/>
      </rPr>
      <t xml:space="preserve">抓取）；以此比例反推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全年營收</t>
    </r>
    <r>
      <rPr>
        <i val="true"/>
        <sz val="9"/>
        <color rgb="FF888888"/>
        <rFont val="Arial"/>
        <family val="0"/>
        <charset val="1"/>
      </rPr>
      <t xml:space="preserve">303.4</t>
    </r>
    <r>
      <rPr>
        <i val="true"/>
        <sz val="9"/>
        <color rgb="FF888888"/>
        <rFont val="Noto Sans CJK SC"/>
        <family val="2"/>
      </rPr>
      <t xml:space="preserve">億元之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分項</t>
    </r>
    <r>
      <rPr>
        <i val="true"/>
        <sz val="9"/>
        <color rgb="FF888888"/>
        <rFont val="Arial"/>
        <family val="0"/>
        <charset val="1"/>
      </rPr>
      <t xml:space="preserve">=303.4×38%=115.29</t>
    </r>
    <r>
      <rPr>
        <i val="true"/>
        <sz val="9"/>
        <color rgb="FF888888"/>
        <rFont val="Noto Sans CJK SC"/>
        <family val="2"/>
      </rPr>
      <t xml:space="preserve">億（推估，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年報未逐產品線揭露，假設</t>
    </r>
    <r>
      <rPr>
        <i val="true"/>
        <sz val="9"/>
        <color rgb="FF888888"/>
        <rFont val="Arial"/>
        <family val="0"/>
        <charset val="1"/>
      </rPr>
      <t xml:space="preserve">26Q1</t>
    </r>
    <r>
      <rPr>
        <i val="true"/>
        <sz val="9"/>
        <color rgb="FF888888"/>
        <rFont val="Noto Sans CJK SC"/>
        <family val="2"/>
      </rPr>
      <t xml:space="preserve">結構近似全年結構）；</t>
    </r>
    <r>
      <rPr>
        <i val="true"/>
        <sz val="9"/>
        <color rgb="FF888888"/>
        <rFont val="Arial"/>
        <family val="0"/>
        <charset val="1"/>
      </rPr>
      <t xml:space="preserve">2026-2028</t>
    </r>
    <r>
      <rPr>
        <i val="true"/>
        <sz val="9"/>
        <color rgb="FF888888"/>
        <rFont val="Noto Sans CJK SC"/>
        <family val="2"/>
      </rPr>
      <t xml:space="preserve">成長率設為</t>
    </r>
    <r>
      <rPr>
        <i val="true"/>
        <sz val="9"/>
        <color rgb="FF888888"/>
        <rFont val="Arial"/>
        <family val="0"/>
        <charset val="1"/>
      </rPr>
      <t xml:space="preserve">135%/100%/65%</t>
    </r>
    <r>
      <rPr>
        <i val="true"/>
        <sz val="9"/>
        <color rgb="FF888888"/>
        <rFont val="Noto Sans CJK SC"/>
        <family val="2"/>
      </rPr>
      <t xml:space="preserve">，反映高階材料佔比持續提升敘事（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佔總營收比重由</t>
    </r>
    <r>
      <rPr>
        <i val="true"/>
        <sz val="9"/>
        <color rgb="FF888888"/>
        <rFont val="Arial"/>
        <family val="0"/>
        <charset val="1"/>
      </rPr>
      <t xml:space="preserve">38%→45.3%→51.1%→54.3%</t>
    </r>
    <r>
      <rPr>
        <i val="true"/>
        <sz val="9"/>
        <color rgb="FF888888"/>
        <rFont val="Noto Sans CJK SC"/>
        <family val="2"/>
      </rPr>
      <t xml:space="preserve">），使四線加總營收貼近法人共識</t>
    </r>
    <r>
      <rPr>
        <i val="true"/>
        <sz val="9"/>
        <color rgb="FF888888"/>
        <rFont val="Arial"/>
        <family val="0"/>
        <charset val="1"/>
      </rPr>
      <t xml:space="preserve">(599.35/1048.29/1611.84</t>
    </r>
    <r>
      <rPr>
        <i val="true"/>
        <sz val="9"/>
        <color rgb="FF888888"/>
        <rFont val="Noto Sans CJK SC"/>
        <family val="2"/>
      </rPr>
      <t xml:space="preserve">億元，模型加總誤差</t>
    </r>
    <r>
      <rPr>
        <i val="true"/>
        <sz val="9"/>
        <color rgb="FF888888"/>
        <rFont val="Arial"/>
        <family val="0"/>
        <charset val="1"/>
      </rPr>
      <t xml:space="preserve">-0.3%/+1.2%/+2.2%</t>
    </r>
    <r>
      <rPr>
        <i val="true"/>
        <sz val="9"/>
        <color rgb="FF888888"/>
        <rFont val="Noto Sans CJK SC"/>
        <family val="2"/>
      </rPr>
      <t xml:space="preserve">，均在</t>
    </r>
    <r>
      <rPr>
        <i val="true"/>
        <sz val="9"/>
        <color rgb="FF888888"/>
        <rFont val="Arial"/>
        <family val="0"/>
        <charset val="1"/>
      </rPr>
      <t xml:space="preserve">±5%</t>
    </r>
    <r>
      <rPr>
        <i val="true"/>
        <sz val="9"/>
        <color rgb="FF888888"/>
        <rFont val="Noto Sans CJK SC"/>
        <family val="2"/>
      </rPr>
      <t xml:space="preserve">容許範圍內</t>
    </r>
    <r>
      <rPr>
        <i val="true"/>
        <sz val="9"/>
        <color rgb="FF888888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</si>
  <si>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VLL+LL </t>
    </r>
    <r>
      <rPr>
        <sz val="10"/>
        <color rgb="FF000000"/>
        <rFont val="Noto Sans CJK SC"/>
        <family val="2"/>
      </rPr>
      <t xml:space="preserve">低損耗材料</t>
    </r>
  </si>
  <si>
    <r>
      <rPr>
        <i val="true"/>
        <sz val="9"/>
        <color rgb="FF888888"/>
        <rFont val="Noto Sans CJK SC"/>
        <family val="2"/>
      </rPr>
      <t xml:space="preserve">來源：同上圖反推</t>
    </r>
    <r>
      <rPr>
        <i val="true"/>
        <sz val="9"/>
        <color rgb="FF888888"/>
        <rFont val="Arial"/>
        <family val="0"/>
        <charset val="1"/>
      </rPr>
      <t xml:space="preserve">VLL+LL</t>
    </r>
    <r>
      <rPr>
        <i val="true"/>
        <sz val="9"/>
        <color rgb="FF888888"/>
        <rFont val="Noto Sans CJK SC"/>
        <family val="2"/>
      </rPr>
      <t xml:space="preserve">佔比</t>
    </r>
    <r>
      <rPr>
        <i val="true"/>
        <sz val="9"/>
        <color rgb="FF888888"/>
        <rFont val="Arial"/>
        <family val="0"/>
        <charset val="1"/>
      </rPr>
      <t xml:space="preserve">32%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</t>
    </r>
    <r>
      <rPr>
        <i val="true"/>
        <sz val="9"/>
        <color rgb="FF888888"/>
        <rFont val="Arial"/>
        <family val="0"/>
        <charset val="1"/>
      </rPr>
      <t xml:space="preserve">=303.4×32%=97.09</t>
    </r>
    <r>
      <rPr>
        <i val="true"/>
        <sz val="9"/>
        <color rgb="FF888888"/>
        <rFont val="Noto Sans CJK SC"/>
        <family val="2"/>
      </rPr>
      <t xml:space="preserve">億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推估，同上假設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；</t>
    </r>
    <r>
      <rPr>
        <i val="true"/>
        <sz val="9"/>
        <color rgb="FF888888"/>
        <rFont val="Arial"/>
        <family val="0"/>
        <charset val="1"/>
      </rPr>
      <t xml:space="preserve">2026-2028</t>
    </r>
    <r>
      <rPr>
        <i val="true"/>
        <sz val="9"/>
        <color rgb="FF888888"/>
        <rFont val="Noto Sans CJK SC"/>
        <family val="2"/>
      </rPr>
      <t xml:space="preserve">成長率</t>
    </r>
    <r>
      <rPr>
        <i val="true"/>
        <sz val="9"/>
        <color rgb="FF888888"/>
        <rFont val="Arial"/>
        <family val="0"/>
        <charset val="1"/>
      </rPr>
      <t xml:space="preserve">90%/65%/50%</t>
    </r>
    <r>
      <rPr>
        <i val="true"/>
        <sz val="9"/>
        <color rgb="FF888888"/>
        <rFont val="Noto Sans CJK SC"/>
        <family val="2"/>
      </rPr>
      <t xml:space="preserve">，次於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但仍受惠整體高速傳輸材料需求</t>
    </r>
  </si>
  <si>
    <t xml:space="preserve">HDI+N-LL</t>
  </si>
  <si>
    <r>
      <rPr>
        <i val="true"/>
        <sz val="9"/>
        <color rgb="FF888888"/>
        <rFont val="Noto Sans CJK SC"/>
        <family val="2"/>
      </rPr>
      <t xml:space="preserve">來源：同上圖反推</t>
    </r>
    <r>
      <rPr>
        <i val="true"/>
        <sz val="9"/>
        <color rgb="FF888888"/>
        <rFont val="Arial"/>
        <family val="0"/>
        <charset val="1"/>
      </rPr>
      <t xml:space="preserve">HDI+N-LL</t>
    </r>
    <r>
      <rPr>
        <i val="true"/>
        <sz val="9"/>
        <color rgb="FF888888"/>
        <rFont val="Noto Sans CJK SC"/>
        <family val="2"/>
      </rPr>
      <t xml:space="preserve">佔比</t>
    </r>
    <r>
      <rPr>
        <i val="true"/>
        <sz val="9"/>
        <color rgb="FF888888"/>
        <rFont val="Arial"/>
        <family val="0"/>
        <charset val="1"/>
      </rPr>
      <t xml:space="preserve">18%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</t>
    </r>
    <r>
      <rPr>
        <i val="true"/>
        <sz val="9"/>
        <color rgb="FF888888"/>
        <rFont val="Arial"/>
        <family val="0"/>
        <charset val="1"/>
      </rPr>
      <t xml:space="preserve">=303.4×18%=54.61</t>
    </r>
    <r>
      <rPr>
        <i val="true"/>
        <sz val="9"/>
        <color rgb="FF888888"/>
        <rFont val="Noto Sans CJK SC"/>
        <family val="2"/>
      </rPr>
      <t xml:space="preserve">億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推估，同上假設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；</t>
    </r>
    <r>
      <rPr>
        <i val="true"/>
        <sz val="9"/>
        <color rgb="FF888888"/>
        <rFont val="Arial"/>
        <family val="0"/>
        <charset val="1"/>
      </rPr>
      <t xml:space="preserve">2026-2028</t>
    </r>
    <r>
      <rPr>
        <i val="true"/>
        <sz val="9"/>
        <color rgb="FF888888"/>
        <rFont val="Noto Sans CJK SC"/>
        <family val="2"/>
      </rPr>
      <t xml:space="preserve">成長率</t>
    </r>
    <r>
      <rPr>
        <i val="true"/>
        <sz val="9"/>
        <color rgb="FF888888"/>
        <rFont val="Arial"/>
        <family val="0"/>
        <charset val="1"/>
      </rPr>
      <t xml:space="preserve">60%/55%/40%</t>
    </r>
    <r>
      <rPr>
        <i val="true"/>
        <sz val="9"/>
        <color rgb="FF888888"/>
        <rFont val="Noto Sans CJK SC"/>
        <family val="2"/>
      </rPr>
      <t xml:space="preserve">，成熟產品線成長動能較低階材料放緩</t>
    </r>
  </si>
  <si>
    <t xml:space="preserve">其他</t>
  </si>
  <si>
    <r>
      <rPr>
        <i val="true"/>
        <sz val="9"/>
        <color rgb="FF888888"/>
        <rFont val="Noto Sans CJK SC"/>
        <family val="2"/>
      </rPr>
      <t xml:space="preserve">來源：同上圖反推其他佔比</t>
    </r>
    <r>
      <rPr>
        <i val="true"/>
        <sz val="9"/>
        <color rgb="FF888888"/>
        <rFont val="Arial"/>
        <family val="0"/>
        <charset val="1"/>
      </rPr>
      <t xml:space="preserve">12%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全年</t>
    </r>
    <r>
      <rPr>
        <i val="true"/>
        <sz val="9"/>
        <color rgb="FF888888"/>
        <rFont val="Arial"/>
        <family val="0"/>
        <charset val="1"/>
      </rPr>
      <t xml:space="preserve">=303.4×12%=36.41</t>
    </r>
    <r>
      <rPr>
        <i val="true"/>
        <sz val="9"/>
        <color rgb="FF888888"/>
        <rFont val="Noto Sans CJK SC"/>
        <family val="2"/>
      </rPr>
      <t xml:space="preserve">億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推估，同上假設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；</t>
    </r>
    <r>
      <rPr>
        <i val="true"/>
        <sz val="9"/>
        <color rgb="FF888888"/>
        <rFont val="Arial"/>
        <family val="0"/>
        <charset val="1"/>
      </rPr>
      <t xml:space="preserve">2026-2028</t>
    </r>
    <r>
      <rPr>
        <i val="true"/>
        <sz val="9"/>
        <color rgb="FF888888"/>
        <rFont val="Noto Sans CJK SC"/>
        <family val="2"/>
      </rPr>
      <t xml:space="preserve">成長率</t>
    </r>
    <r>
      <rPr>
        <i val="true"/>
        <sz val="9"/>
        <color rgb="FF888888"/>
        <rFont val="Arial"/>
        <family val="0"/>
        <charset val="1"/>
      </rPr>
      <t xml:space="preserve">50%/45%/35%</t>
    </r>
    <r>
      <rPr>
        <i val="true"/>
        <sz val="9"/>
        <color rgb="FF888888"/>
        <rFont val="Noto Sans CJK SC"/>
        <family val="2"/>
      </rPr>
      <t xml:space="preserve">，隨整體需求成長但佔比逐年稀釋</t>
    </r>
  </si>
  <si>
    <t xml:space="preserve">③ 利潤率假設</t>
  </si>
  <si>
    <t xml:space="preserve">項目</t>
  </si>
  <si>
    <t xml:space="preserve">2026</t>
  </si>
  <si>
    <t xml:space="preserve">2027</t>
  </si>
  <si>
    <t xml:space="preserve">2028</t>
  </si>
  <si>
    <t xml:space="preserve">毛利率</t>
  </si>
  <si>
    <r>
      <rPr>
        <i val="true"/>
        <sz val="9"/>
        <color rgb="FF888888"/>
        <rFont val="Noto Sans CJK SC"/>
        <family val="2"/>
      </rPr>
      <t xml:space="preserve">來源：</t>
    </r>
    <r>
      <rPr>
        <i val="true"/>
        <sz val="9"/>
        <color rgb="FF888888"/>
        <rFont val="Arial"/>
        <family val="0"/>
        <charset val="1"/>
      </rPr>
      <t xml:space="preserve">26Q1</t>
    </r>
    <r>
      <rPr>
        <i val="true"/>
        <sz val="9"/>
        <color rgb="FF888888"/>
        <rFont val="Noto Sans CJK SC"/>
        <family val="2"/>
      </rPr>
      <t xml:space="preserve">法說會實際毛利率</t>
    </r>
    <r>
      <rPr>
        <i val="true"/>
        <sz val="9"/>
        <color rgb="FF888888"/>
        <rFont val="Arial"/>
        <family val="0"/>
        <charset val="1"/>
      </rPr>
      <t xml:space="preserve">25.15%</t>
    </r>
    <r>
      <rPr>
        <i val="true"/>
        <sz val="9"/>
        <color rgb="FF888888"/>
        <rFont val="Noto Sans CJK SC"/>
        <family val="2"/>
      </rPr>
      <t xml:space="preserve">為起點；為貼近法人共識</t>
    </r>
    <r>
      <rPr>
        <i val="true"/>
        <sz val="9"/>
        <color rgb="FF888888"/>
        <rFont val="Arial"/>
        <family val="0"/>
        <charset val="1"/>
      </rPr>
      <t xml:space="preserve">EPS</t>
    </r>
    <r>
      <rPr>
        <i val="true"/>
        <sz val="9"/>
        <color rgb="FF888888"/>
        <rFont val="Noto Sans CJK SC"/>
        <family val="2"/>
      </rPr>
      <t xml:space="preserve">陡峭成長軌跡</t>
    </r>
    <r>
      <rPr>
        <i val="true"/>
        <sz val="9"/>
        <color rgb="FF888888"/>
        <rFont val="Arial"/>
        <family val="0"/>
        <charset val="1"/>
      </rPr>
      <t xml:space="preserve">(YoY+117%/+69%/+69%)</t>
    </r>
    <r>
      <rPr>
        <i val="true"/>
        <sz val="9"/>
        <color rgb="FF888888"/>
        <rFont val="Noto Sans CJK SC"/>
        <family val="2"/>
      </rPr>
      <t xml:space="preserve">，模型毛利率路徑設定</t>
    </r>
    <r>
      <rPr>
        <i val="true"/>
        <sz val="9"/>
        <color rgb="FF888888"/>
        <rFont val="Arial"/>
        <family val="0"/>
        <charset val="1"/>
      </rPr>
      <t xml:space="preserve">29%/32%/35%</t>
    </r>
    <r>
      <rPr>
        <i val="true"/>
        <sz val="9"/>
        <color rgb="FF888888"/>
        <rFont val="Noto Sans CJK SC"/>
        <family val="2"/>
      </rPr>
      <t xml:space="preserve">（隨</t>
    </r>
    <r>
      <rPr>
        <i val="true"/>
        <sz val="9"/>
        <color rgb="FF888888"/>
        <rFont val="Arial"/>
        <family val="0"/>
        <charset val="1"/>
      </rPr>
      <t xml:space="preserve">ELL+SLL</t>
    </r>
    <r>
      <rPr>
        <i val="true"/>
        <sz val="9"/>
        <color rgb="FF888888"/>
        <rFont val="Noto Sans CJK SC"/>
        <family val="2"/>
      </rPr>
      <t xml:space="preserve">高毛利產品線佔比由</t>
    </r>
    <r>
      <rPr>
        <i val="true"/>
        <sz val="9"/>
        <color rgb="FF888888"/>
        <rFont val="Arial"/>
        <family val="0"/>
        <charset val="1"/>
      </rPr>
      <t xml:space="preserve">38%</t>
    </r>
    <r>
      <rPr>
        <i val="true"/>
        <sz val="9"/>
        <color rgb="FF888888"/>
        <rFont val="Noto Sans CJK SC"/>
        <family val="2"/>
      </rPr>
      <t xml:space="preserve">快速提升至</t>
    </r>
    <r>
      <rPr>
        <i val="true"/>
        <sz val="9"/>
        <color rgb="FF888888"/>
        <rFont val="Arial"/>
        <family val="0"/>
        <charset val="1"/>
      </rPr>
      <t xml:space="preserve">54.3%</t>
    </r>
    <r>
      <rPr>
        <i val="true"/>
        <sz val="9"/>
        <color rgb="FF888888"/>
        <rFont val="Noto Sans CJK SC"/>
        <family val="2"/>
      </rPr>
      <t xml:space="preserve">，帶動整體毛利率結構性上升，此為合理但尚未經公司逐產品線利潤率證實之推估）；此路徑高於</t>
    </r>
    <r>
      <rPr>
        <i val="true"/>
        <sz val="9"/>
        <color rgb="FF888888"/>
        <rFont val="Arial"/>
        <family val="0"/>
        <charset val="1"/>
      </rPr>
      <t xml:space="preserve">Wallace</t>
    </r>
    <r>
      <rPr>
        <i val="true"/>
        <sz val="9"/>
        <color rgb="FF888888"/>
        <rFont val="Noto Sans CJK SC"/>
        <family val="2"/>
      </rPr>
      <t xml:space="preserve">原先「基本情境毛利率</t>
    </r>
    <r>
      <rPr>
        <i val="true"/>
        <sz val="9"/>
        <color rgb="FF888888"/>
        <rFont val="Arial"/>
        <family val="0"/>
        <charset val="1"/>
      </rPr>
      <t xml:space="preserve">25-27%</t>
    </r>
    <r>
      <rPr>
        <i val="true"/>
        <sz val="9"/>
        <color rgb="FF888888"/>
        <rFont val="Noto Sans CJK SC"/>
        <family val="2"/>
      </rPr>
      <t xml:space="preserve">」的敘事假設，兩者存在張力——若僅維持</t>
    </r>
    <r>
      <rPr>
        <i val="true"/>
        <sz val="9"/>
        <color rgb="FF888888"/>
        <rFont val="Arial"/>
        <family val="0"/>
        <charset val="1"/>
      </rPr>
      <t xml:space="preserve">25-27%</t>
    </r>
    <r>
      <rPr>
        <i val="true"/>
        <sz val="9"/>
        <color rgb="FF888888"/>
        <rFont val="Noto Sans CJK SC"/>
        <family val="2"/>
      </rPr>
      <t xml:space="preserve">毛利率，反推所需營業費用率將趨近於</t>
    </r>
    <r>
      <rPr>
        <i val="true"/>
        <sz val="9"/>
        <color rgb="FF888888"/>
        <rFont val="Arial"/>
        <family val="0"/>
        <charset val="1"/>
      </rPr>
      <t xml:space="preserve">0%</t>
    </r>
    <r>
      <rPr>
        <i val="true"/>
        <sz val="9"/>
        <color rgb="FF888888"/>
        <rFont val="Noto Sans CJK SC"/>
        <family val="2"/>
      </rPr>
      <t xml:space="preserve">（不合理），故改以毛利率上修來吸收法人共識隱含的營運槓桿效果，詳見</t>
    </r>
    <r>
      <rPr>
        <i val="true"/>
        <sz val="9"/>
        <color rgb="FF888888"/>
        <rFont val="Arial"/>
        <family val="0"/>
        <charset val="1"/>
      </rPr>
      <t xml:space="preserve">0_</t>
    </r>
    <r>
      <rPr>
        <i val="true"/>
        <sz val="9"/>
        <color rgb="FF888888"/>
        <rFont val="Noto Sans CJK SC"/>
        <family val="2"/>
      </rPr>
      <t xml:space="preserve">變量總覽分頁「模型</t>
    </r>
    <r>
      <rPr>
        <i val="true"/>
        <sz val="9"/>
        <color rgb="FF888888"/>
        <rFont val="Arial"/>
        <family val="0"/>
        <charset val="1"/>
      </rPr>
      <t xml:space="preserve">EPS vs</t>
    </r>
    <r>
      <rPr>
        <i val="true"/>
        <sz val="9"/>
        <color rgb="FF888888"/>
        <rFont val="Noto Sans CJK SC"/>
        <family val="2"/>
      </rPr>
      <t xml:space="preserve">法人共識誤差」列說明；未超過</t>
    </r>
    <r>
      <rPr>
        <i val="true"/>
        <sz val="9"/>
        <color rgb="FF888888"/>
        <rFont val="Arial"/>
        <family val="0"/>
        <charset val="1"/>
      </rPr>
      <t xml:space="preserve">40%</t>
    </r>
    <r>
      <rPr>
        <i val="true"/>
        <sz val="9"/>
        <color rgb="FF888888"/>
        <rFont val="Noto Sans CJK SC"/>
        <family val="2"/>
      </rPr>
      <t xml:space="preserve">上限</t>
    </r>
  </si>
  <si>
    <t xml:space="preserve">營業費用率</t>
  </si>
  <si>
    <r>
      <rPr>
        <i val="true"/>
        <sz val="9"/>
        <color rgb="FF888888"/>
        <rFont val="Noto Sans CJK SC"/>
        <family val="2"/>
      </rPr>
      <t xml:space="preserve">來源：推估：隨營收規模擴大（</t>
    </r>
    <r>
      <rPr>
        <i val="true"/>
        <sz val="9"/>
        <color rgb="FF888888"/>
        <rFont val="Arial"/>
        <family val="0"/>
        <charset val="1"/>
      </rPr>
      <t xml:space="preserve">303.4</t>
    </r>
    <r>
      <rPr>
        <i val="true"/>
        <sz val="9"/>
        <color rgb="FF888888"/>
        <rFont val="Noto Sans CJK SC"/>
        <family val="2"/>
      </rPr>
      <t xml:space="preserve">億→</t>
    </r>
    <r>
      <rPr>
        <i val="true"/>
        <sz val="9"/>
        <color rgb="FF888888"/>
        <rFont val="Arial"/>
        <family val="0"/>
        <charset val="1"/>
      </rPr>
      <t xml:space="preserve">1611.84</t>
    </r>
    <r>
      <rPr>
        <i val="true"/>
        <sz val="9"/>
        <color rgb="FF888888"/>
        <rFont val="Noto Sans CJK SC"/>
        <family val="2"/>
      </rPr>
      <t xml:space="preserve">億）產生費用攤薄效果，費用率由</t>
    </r>
    <r>
      <rPr>
        <i val="true"/>
        <sz val="9"/>
        <color rgb="FF888888"/>
        <rFont val="Arial"/>
        <family val="0"/>
        <charset val="1"/>
      </rPr>
      <t xml:space="preserve">8.0%</t>
    </r>
    <r>
      <rPr>
        <i val="true"/>
        <sz val="9"/>
        <color rgb="FF888888"/>
        <rFont val="Noto Sans CJK SC"/>
        <family val="2"/>
      </rPr>
      <t xml:space="preserve">緩步降至</t>
    </r>
    <r>
      <rPr>
        <i val="true"/>
        <sz val="9"/>
        <color rgb="FF888888"/>
        <rFont val="Arial"/>
        <family val="0"/>
        <charset val="1"/>
      </rPr>
      <t xml:space="preserve">7.0%</t>
    </r>
    <r>
      <rPr>
        <i val="true"/>
        <sz val="9"/>
        <color rgb="FF888888"/>
        <rFont val="Noto Sans CJK SC"/>
        <family val="2"/>
      </rPr>
      <t xml:space="preserve">，屬中性假設（無公司逐年費用率指引可比對，標「推估」）</t>
    </r>
  </si>
  <si>
    <r>
      <rPr>
        <sz val="10"/>
        <color rgb="FF000000"/>
        <rFont val="Noto Sans CJK SC"/>
        <family val="2"/>
      </rPr>
      <t xml:space="preserve">業外收支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營收</t>
    </r>
  </si>
  <si>
    <r>
      <rPr>
        <i val="true"/>
        <sz val="9"/>
        <color rgb="FF888888"/>
        <rFont val="Noto Sans CJK SC"/>
        <family val="2"/>
      </rPr>
      <t xml:space="preserve">來源：推估：反映紅隊指出之負債比</t>
    </r>
    <r>
      <rPr>
        <i val="true"/>
        <sz val="9"/>
        <color rgb="FF888888"/>
        <rFont val="Arial"/>
        <family val="0"/>
        <charset val="1"/>
      </rPr>
      <t xml:space="preserve">14</t>
    </r>
    <r>
      <rPr>
        <i val="true"/>
        <sz val="9"/>
        <color rgb="FF888888"/>
        <rFont val="Noto Sans CJK SC"/>
        <family val="2"/>
      </rPr>
      <t xml:space="preserve">個月由</t>
    </r>
    <r>
      <rPr>
        <i val="true"/>
        <sz val="9"/>
        <color rgb="FF888888"/>
        <rFont val="Arial"/>
        <family val="0"/>
        <charset val="1"/>
      </rPr>
      <t xml:space="preserve">40%</t>
    </r>
    <r>
      <rPr>
        <i val="true"/>
        <sz val="9"/>
        <color rgb="FF888888"/>
        <rFont val="Noto Sans CJK SC"/>
        <family val="2"/>
      </rPr>
      <t xml:space="preserve">攀升至</t>
    </r>
    <r>
      <rPr>
        <i val="true"/>
        <sz val="9"/>
        <color rgb="FF888888"/>
        <rFont val="Arial"/>
        <family val="0"/>
        <charset val="1"/>
      </rPr>
      <t xml:space="preserve">59.2%</t>
    </r>
    <r>
      <rPr>
        <i val="true"/>
        <sz val="9"/>
        <color rgb="FF888888"/>
        <rFont val="Noto Sans CJK SC"/>
        <family val="2"/>
      </rPr>
      <t xml:space="preserve">，利息費用轉為業外淨支出，估</t>
    </r>
    <r>
      <rPr>
        <i val="true"/>
        <sz val="9"/>
        <color rgb="FF888888"/>
        <rFont val="Arial"/>
        <family val="0"/>
        <charset val="1"/>
      </rPr>
      <t xml:space="preserve">-0.3%</t>
    </r>
    <r>
      <rPr>
        <i val="true"/>
        <sz val="9"/>
        <color rgb="FF888888"/>
        <rFont val="Noto Sans CJK SC"/>
        <family val="2"/>
      </rPr>
      <t xml:space="preserve">（無精確業外收支預估數字，標「推估」）</t>
    </r>
  </si>
  <si>
    <t xml:space="preserve">有效稅率</t>
  </si>
  <si>
    <r>
      <rPr>
        <i val="true"/>
        <sz val="9"/>
        <color rgb="FF888888"/>
        <rFont val="Noto Sans CJK SC"/>
        <family val="2"/>
      </rPr>
      <t xml:space="preserve">來源：採台灣一般營利事業所得稅率</t>
    </r>
    <r>
      <rPr>
        <i val="true"/>
        <sz val="9"/>
        <color rgb="FF888888"/>
        <rFont val="Arial"/>
        <family val="0"/>
        <charset val="1"/>
      </rPr>
      <t xml:space="preserve">20%</t>
    </r>
    <r>
      <rPr>
        <i val="true"/>
        <sz val="9"/>
        <color rgb="FF888888"/>
        <rFont val="Noto Sans CJK SC"/>
        <family val="2"/>
      </rPr>
      <t xml:space="preserve">（推估，無公司揭露之有效稅率可比對）</t>
    </r>
  </si>
  <si>
    <t xml:space="preserve">④ 估值假設</t>
  </si>
  <si>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PE </t>
    </r>
    <r>
      <rPr>
        <sz val="10"/>
        <color rgb="FF000000"/>
        <rFont val="Noto Sans CJK SC"/>
        <family val="2"/>
      </rPr>
      <t xml:space="preserve">下緣</t>
    </r>
  </si>
  <si>
    <r>
      <rPr>
        <i val="true"/>
        <sz val="9"/>
        <color rgb="FF888888"/>
        <rFont val="Noto Sans CJK SC"/>
        <family val="2"/>
      </rPr>
      <t xml:space="preserve">來源：基本情境目標</t>
    </r>
    <r>
      <rPr>
        <i val="true"/>
        <sz val="9"/>
        <color rgb="FF888888"/>
        <rFont val="Arial"/>
        <family val="0"/>
        <charset val="1"/>
      </rPr>
      <t xml:space="preserve">PE 45-50x</t>
    </r>
    <r>
      <rPr>
        <i val="true"/>
        <sz val="9"/>
        <color rgb="FF888888"/>
        <rFont val="Noto Sans CJK SC"/>
        <family val="2"/>
      </rPr>
      <t xml:space="preserve">，相對法人共識</t>
    </r>
    <r>
      <rPr>
        <i val="true"/>
        <sz val="9"/>
        <color rgb="FF888888"/>
        <rFont val="Arial"/>
        <family val="0"/>
        <charset val="1"/>
      </rPr>
      <t xml:space="preserve">2027F EPS 76.4</t>
    </r>
    <r>
      <rPr>
        <i val="true"/>
        <sz val="9"/>
        <color rgb="FF888888"/>
        <rFont val="Noto Sans CJK SC"/>
        <family val="2"/>
      </rPr>
      <t xml:space="preserve">元計算之</t>
    </r>
    <r>
      <rPr>
        <i val="true"/>
        <sz val="9"/>
        <color rgb="FF888888"/>
        <rFont val="Arial"/>
        <family val="0"/>
        <charset val="1"/>
      </rPr>
      <t xml:space="preserve">forward PE</t>
    </r>
    <r>
      <rPr>
        <i val="true"/>
        <sz val="9"/>
        <color rgb="FF888888"/>
        <rFont val="Noto Sans CJK SC"/>
        <family val="2"/>
      </rPr>
      <t xml:space="preserve">，反映部分本益比壓縮但仍認可高成長；現況台燿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台光電</t>
    </r>
    <r>
      <rPr>
        <i val="true"/>
        <sz val="9"/>
        <color rgb="FF888888"/>
        <rFont val="Arial"/>
        <family val="0"/>
        <charset val="1"/>
      </rPr>
      <t xml:space="preserve">(2383)/</t>
    </r>
    <r>
      <rPr>
        <i val="true"/>
        <sz val="9"/>
        <color rgb="FF888888"/>
        <rFont val="Noto Sans CJK SC"/>
        <family val="2"/>
      </rPr>
      <t xml:space="preserve">聯茂</t>
    </r>
    <r>
      <rPr>
        <i val="true"/>
        <sz val="9"/>
        <color rgb="FF888888"/>
        <rFont val="Arial"/>
        <family val="0"/>
        <charset val="1"/>
      </rPr>
      <t xml:space="preserve">(6213)</t>
    </r>
    <r>
      <rPr>
        <i val="true"/>
        <sz val="9"/>
        <color rgb="FF888888"/>
        <rFont val="Noto Sans CJK SC"/>
        <family val="2"/>
      </rPr>
      <t xml:space="preserve">三檔</t>
    </r>
    <r>
      <rPr>
        <i val="true"/>
        <sz val="9"/>
        <color rgb="FF888888"/>
        <rFont val="Arial"/>
        <family val="0"/>
        <charset val="1"/>
      </rPr>
      <t xml:space="preserve">CCL</t>
    </r>
    <r>
      <rPr>
        <i val="true"/>
        <sz val="9"/>
        <color rgb="FF888888"/>
        <rFont val="Noto Sans CJK SC"/>
        <family val="2"/>
      </rPr>
      <t xml:space="preserve">廠</t>
    </r>
    <r>
      <rPr>
        <i val="true"/>
        <sz val="9"/>
        <color rgb="FF888888"/>
        <rFont val="Arial"/>
        <family val="0"/>
        <charset val="1"/>
      </rPr>
      <t xml:space="preserve">trailing PE</t>
    </r>
    <r>
      <rPr>
        <i val="true"/>
        <sz val="9"/>
        <color rgb="FF888888"/>
        <rFont val="Noto Sans CJK SC"/>
        <family val="2"/>
      </rPr>
      <t xml:space="preserve">分別</t>
    </r>
    <r>
      <rPr>
        <i val="true"/>
        <sz val="9"/>
        <color rgb="FF888888"/>
        <rFont val="Arial"/>
        <family val="0"/>
        <charset val="1"/>
      </rPr>
      <t xml:space="preserve">113.44x/114.86x/94.13x(2026/07/09</t>
    </r>
    <r>
      <rPr>
        <i val="true"/>
        <sz val="9"/>
        <color rgb="FF888888"/>
        <rFont val="Noto Sans CJK SC"/>
        <family val="2"/>
      </rPr>
      <t xml:space="preserve">收盤，</t>
    </r>
    <r>
      <rPr>
        <i val="true"/>
        <sz val="9"/>
        <color rgb="FF888888"/>
        <rFont val="Arial"/>
        <family val="0"/>
        <charset val="1"/>
      </rPr>
      <t xml:space="preserve">Chrome</t>
    </r>
    <r>
      <rPr>
        <i val="true"/>
        <sz val="9"/>
        <color rgb="FF888888"/>
        <rFont val="Noto Sans CJK SC"/>
        <family val="2"/>
      </rPr>
      <t xml:space="preserve">抓取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，全產業均在</t>
    </r>
    <r>
      <rPr>
        <i val="true"/>
        <sz val="9"/>
        <color rgb="FF888888"/>
        <rFont val="Arial"/>
        <family val="0"/>
        <charset val="1"/>
      </rPr>
      <t xml:space="preserve">94-115x</t>
    </r>
    <r>
      <rPr>
        <i val="true"/>
        <sz val="9"/>
        <color rgb="FF888888"/>
        <rFont val="Noto Sans CJK SC"/>
        <family val="2"/>
      </rPr>
      <t xml:space="preserve">高檔</t>
    </r>
  </si>
  <si>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PE </t>
    </r>
    <r>
      <rPr>
        <sz val="10"/>
        <color rgb="FF000000"/>
        <rFont val="Noto Sans CJK SC"/>
        <family val="2"/>
      </rPr>
      <t xml:space="preserve">上緣</t>
    </r>
  </si>
  <si>
    <r>
      <rPr>
        <sz val="10"/>
        <color rgb="FF000000"/>
        <rFont val="Noto Sans CJK SC"/>
        <family val="2"/>
      </rPr>
      <t xml:space="preserve">出場 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（隱含成長率檢核）</t>
    </r>
  </si>
  <si>
    <r>
      <rPr>
        <sz val="10"/>
        <color rgb="FF000000"/>
        <rFont val="Noto Sans CJK SC"/>
        <family val="2"/>
      </rPr>
      <t xml:space="preserve">評估年數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</si>
  <si>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10"/>
        <color rgb="FF000000"/>
        <rFont val="Noto Sans CJK SC"/>
        <family val="2"/>
      </rPr>
      <t xml:space="preserve">產業平均 </t>
    </r>
    <r>
      <rPr>
        <sz val="10"/>
        <color rgb="FF000000"/>
        <rFont val="Arial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成長率</t>
    </r>
  </si>
  <si>
    <r>
      <rPr>
        <i val="true"/>
        <sz val="9"/>
        <color rgb="FF888888"/>
        <rFont val="Noto Sans CJK SC"/>
        <family val="2"/>
      </rPr>
      <t xml:space="preserve">來源：產業（</t>
    </r>
    <r>
      <rPr>
        <i val="true"/>
        <sz val="9"/>
        <color rgb="FF888888"/>
        <rFont val="Arial"/>
        <family val="0"/>
        <charset val="1"/>
      </rPr>
      <t xml:space="preserve">CCL/</t>
    </r>
    <r>
      <rPr>
        <i val="true"/>
        <sz val="9"/>
        <color rgb="FF888888"/>
        <rFont val="Noto Sans CJK SC"/>
        <family val="2"/>
      </rPr>
      <t xml:space="preserve">高階材料）近期成長動能強勁但無精確產業平均數字，推估</t>
    </r>
    <r>
      <rPr>
        <i val="true"/>
        <sz val="9"/>
        <color rgb="FF888888"/>
        <rFont val="Arial"/>
        <family val="0"/>
        <charset val="1"/>
      </rPr>
      <t xml:space="preserve">18%-20%</t>
    </r>
    <r>
      <rPr>
        <i val="true"/>
        <sz val="9"/>
        <color rgb="FF888888"/>
        <rFont val="Noto Sans CJK SC"/>
        <family val="2"/>
      </rPr>
      <t xml:space="preserve">取中</t>
    </r>
    <r>
      <rPr>
        <i val="true"/>
        <sz val="9"/>
        <color rgb="FF888888"/>
        <rFont val="Arial"/>
        <family val="0"/>
        <charset val="1"/>
      </rPr>
      <t xml:space="preserve">19%</t>
    </r>
    <r>
      <rPr>
        <i val="true"/>
        <sz val="9"/>
        <color rgb="FF888888"/>
        <rFont val="Noto Sans CJK SC"/>
        <family val="2"/>
      </rPr>
      <t xml:space="preserve">，缺乏</t>
    </r>
    <r>
      <rPr>
        <i val="true"/>
        <sz val="9"/>
        <color rgb="FF888888"/>
        <rFont val="Arial"/>
        <family val="0"/>
        <charset val="1"/>
      </rPr>
      <t xml:space="preserve">TrendForce/Gartner</t>
    </r>
    <r>
      <rPr>
        <i val="true"/>
        <sz val="9"/>
        <color rgb="FF888888"/>
        <rFont val="Noto Sans CJK SC"/>
        <family val="2"/>
      </rPr>
      <t xml:space="preserve">等第三方數字</t>
    </r>
  </si>
  <si>
    <t xml:space="preserve">現況本益比基準（不含重評，對照用）</t>
  </si>
  <si>
    <r>
      <rPr>
        <i val="true"/>
        <sz val="9"/>
        <color rgb="FF888888"/>
        <rFont val="Noto Sans CJK SC"/>
        <family val="2"/>
      </rPr>
      <t xml:space="preserve">來源：</t>
    </r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</t>
    </r>
    <r>
      <rPr>
        <i val="true"/>
        <sz val="9"/>
        <color rgb="FF888888"/>
        <rFont val="Arial"/>
        <family val="0"/>
        <charset val="1"/>
      </rPr>
      <t xml:space="preserve">2026/07/09</t>
    </r>
    <r>
      <rPr>
        <i val="true"/>
        <sz val="9"/>
        <color rgb="FF888888"/>
        <rFont val="Noto Sans CJK SC"/>
        <family val="2"/>
      </rPr>
      <t xml:space="preserve">收盤：</t>
    </r>
    <r>
      <rPr>
        <i val="true"/>
        <sz val="9"/>
        <color rgb="FF888888"/>
        <rFont val="Arial"/>
        <family val="0"/>
        <charset val="1"/>
      </rPr>
      <t xml:space="preserve">1570.0</t>
    </r>
    <r>
      <rPr>
        <i val="true"/>
        <sz val="9"/>
        <color rgb="FF888888"/>
        <rFont val="Noto Sans CJK SC"/>
        <family val="2"/>
      </rPr>
      <t xml:space="preserve">元，本益比</t>
    </r>
    <r>
      <rPr>
        <i val="true"/>
        <sz val="9"/>
        <color rgb="FF888888"/>
        <rFont val="Arial"/>
        <family val="0"/>
        <charset val="1"/>
      </rPr>
      <t xml:space="preserve">113.44x</t>
    </r>
    <r>
      <rPr>
        <i val="true"/>
        <sz val="9"/>
        <color rgb="FF888888"/>
        <rFont val="Noto Sans CJK SC"/>
        <family val="2"/>
      </rPr>
      <t xml:space="preserve">（同業平均</t>
    </r>
    <r>
      <rPr>
        <i val="true"/>
        <sz val="9"/>
        <color rgb="FF888888"/>
        <rFont val="Arial"/>
        <family val="0"/>
        <charset val="1"/>
      </rPr>
      <t xml:space="preserve">111.25x</t>
    </r>
    <r>
      <rPr>
        <i val="true"/>
        <sz val="9"/>
        <color rgb="FF888888"/>
        <rFont val="Noto Sans CJK SC"/>
        <family val="2"/>
      </rPr>
      <t xml:space="preserve">），</t>
    </r>
    <r>
      <rPr>
        <i val="true"/>
        <sz val="9"/>
        <color rgb="FF888888"/>
        <rFont val="Arial"/>
        <family val="0"/>
        <charset val="1"/>
      </rPr>
      <t xml:space="preserve">Claude in Chrome</t>
    </r>
    <r>
      <rPr>
        <i val="true"/>
        <sz val="9"/>
        <color rgb="FF888888"/>
        <rFont val="Noto Sans CJK SC"/>
        <family val="2"/>
      </rPr>
      <t xml:space="preserve">抓取</t>
    </r>
  </si>
  <si>
    <t xml:space="preserve">⑤ 情境調整（相對基本假設）</t>
  </si>
  <si>
    <t xml:space="preserve">情境</t>
  </si>
  <si>
    <t xml:space="preserve">機率</t>
  </si>
  <si>
    <t xml:space="preserve">營收成長率調整</t>
  </si>
  <si>
    <t xml:space="preserve">毛利率調整</t>
  </si>
  <si>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PE</t>
    </r>
  </si>
  <si>
    <t xml:space="preserve">情境說明</t>
  </si>
  <si>
    <t xml:space="preserve">樂觀</t>
  </si>
  <si>
    <r>
      <rPr>
        <i val="true"/>
        <sz val="9"/>
        <color rgb="FF888888"/>
        <rFont val="Arial"/>
        <family val="0"/>
        <charset val="1"/>
      </rPr>
      <t xml:space="preserve">product line</t>
    </r>
    <r>
      <rPr>
        <i val="true"/>
        <sz val="9"/>
        <color rgb="FF888888"/>
        <rFont val="Noto Sans CJK SC"/>
        <family val="2"/>
      </rPr>
      <t xml:space="preserve">成長優於法人共識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尤其</t>
    </r>
    <r>
      <rPr>
        <i val="true"/>
        <sz val="9"/>
        <color rgb="FF888888"/>
        <rFont val="Arial"/>
        <family val="0"/>
        <charset val="1"/>
      </rPr>
      <t xml:space="preserve">ELL/SLL</t>
    </r>
    <r>
      <rPr>
        <i val="true"/>
        <sz val="9"/>
        <color rgb="FF888888"/>
        <rFont val="Noto Sans CJK SC"/>
        <family val="2"/>
      </rPr>
      <t xml:space="preserve">佔比超預期提升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，毛利率上看</t>
    </r>
    <r>
      <rPr>
        <i val="true"/>
        <sz val="9"/>
        <color rgb="FF888888"/>
        <rFont val="Arial"/>
        <family val="0"/>
        <charset val="1"/>
      </rPr>
      <t xml:space="preserve">28%+(</t>
    </r>
    <r>
      <rPr>
        <i val="true"/>
        <sz val="9"/>
        <color rgb="FF888888"/>
        <rFont val="Noto Sans CJK SC"/>
        <family val="2"/>
      </rPr>
      <t xml:space="preserve">對應本模型基本情境已上修後之路徑再加碼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，目標</t>
    </r>
    <r>
      <rPr>
        <i val="true"/>
        <sz val="9"/>
        <color rgb="FF888888"/>
        <rFont val="Arial"/>
        <family val="0"/>
        <charset val="1"/>
      </rPr>
      <t xml:space="preserve">PE 60-70x</t>
    </r>
    <r>
      <rPr>
        <i val="true"/>
        <sz val="9"/>
        <color rgb="FF888888"/>
        <rFont val="Noto Sans CJK SC"/>
        <family val="2"/>
      </rPr>
      <t xml:space="preserve">取中</t>
    </r>
    <r>
      <rPr>
        <i val="true"/>
        <sz val="9"/>
        <color rgb="FF888888"/>
        <rFont val="Arial"/>
        <family val="0"/>
        <charset val="1"/>
      </rPr>
      <t xml:space="preserve">65x</t>
    </r>
    <r>
      <rPr>
        <i val="true"/>
        <sz val="9"/>
        <color rgb="FF888888"/>
        <rFont val="Noto Sans CJK SC"/>
        <family val="2"/>
      </rPr>
      <t xml:space="preserve">，維持接近現況同業水準</t>
    </r>
  </si>
  <si>
    <t xml:space="preserve">基本</t>
  </si>
  <si>
    <r>
      <rPr>
        <i val="true"/>
        <sz val="9"/>
        <color rgb="FF888888"/>
        <rFont val="Noto Sans CJK SC"/>
        <family val="2"/>
      </rPr>
      <t xml:space="preserve">完全對齊法人共識</t>
    </r>
    <r>
      <rPr>
        <i val="true"/>
        <sz val="9"/>
        <color rgb="FF888888"/>
        <rFont val="Arial"/>
        <family val="0"/>
        <charset val="1"/>
      </rPr>
      <t xml:space="preserve">(2026 EPS 35.27</t>
    </r>
    <r>
      <rPr>
        <i val="true"/>
        <sz val="9"/>
        <color rgb="FF888888"/>
        <rFont val="Noto Sans CJK SC"/>
        <family val="2"/>
      </rPr>
      <t xml:space="preserve">／</t>
    </r>
    <r>
      <rPr>
        <i val="true"/>
        <sz val="9"/>
        <color rgb="FF888888"/>
        <rFont val="Arial"/>
        <family val="0"/>
        <charset val="1"/>
      </rPr>
      <t xml:space="preserve">2027 EPS 76.4</t>
    </r>
    <r>
      <rPr>
        <i val="true"/>
        <sz val="9"/>
        <color rgb="FF888888"/>
        <rFont val="Noto Sans CJK SC"/>
        <family val="2"/>
      </rPr>
      <t xml:space="preserve">／</t>
    </r>
    <r>
      <rPr>
        <i val="true"/>
        <sz val="9"/>
        <color rgb="FF888888"/>
        <rFont val="Arial"/>
        <family val="0"/>
        <charset val="1"/>
      </rPr>
      <t xml:space="preserve">2028 EPS 128.95)</t>
    </r>
    <r>
      <rPr>
        <i val="true"/>
        <sz val="9"/>
        <color rgb="FF888888"/>
        <rFont val="Noto Sans CJK SC"/>
        <family val="2"/>
      </rPr>
      <t xml:space="preserve">，目標</t>
    </r>
    <r>
      <rPr>
        <i val="true"/>
        <sz val="9"/>
        <color rgb="FF888888"/>
        <rFont val="Arial"/>
        <family val="0"/>
        <charset val="1"/>
      </rPr>
      <t xml:space="preserve">PE 45-50x</t>
    </r>
    <r>
      <rPr>
        <i val="true"/>
        <sz val="9"/>
        <color rgb="FF888888"/>
        <rFont val="Noto Sans CJK SC"/>
        <family val="2"/>
      </rPr>
      <t xml:space="preserve">取中</t>
    </r>
    <r>
      <rPr>
        <i val="true"/>
        <sz val="9"/>
        <color rgb="FF888888"/>
        <rFont val="Arial"/>
        <family val="0"/>
        <charset val="1"/>
      </rPr>
      <t xml:space="preserve">47.5x</t>
    </r>
  </si>
  <si>
    <t xml:space="preserve">保守</t>
  </si>
  <si>
    <r>
      <rPr>
        <i val="true"/>
        <sz val="9"/>
        <color rgb="FF888888"/>
        <rFont val="Noto Sans CJK SC"/>
        <family val="2"/>
      </rPr>
      <t xml:space="preserve">紅隊三大論證情境</t>
    </r>
    <r>
      <rPr>
        <i val="true"/>
        <sz val="9"/>
        <color rgb="FF888888"/>
        <rFont val="Arial"/>
        <family val="0"/>
        <charset val="1"/>
      </rPr>
      <t xml:space="preserve">(EPS</t>
    </r>
    <r>
      <rPr>
        <i val="true"/>
        <sz val="9"/>
        <color rgb="FF888888"/>
        <rFont val="Noto Sans CJK SC"/>
        <family val="2"/>
      </rPr>
      <t xml:space="preserve">成長不如共識、</t>
    </r>
    <r>
      <rPr>
        <i val="true"/>
        <sz val="9"/>
        <color rgb="FF888888"/>
        <rFont val="Arial"/>
        <family val="0"/>
        <charset val="1"/>
      </rPr>
      <t xml:space="preserve">FCF/</t>
    </r>
    <r>
      <rPr>
        <i val="true"/>
        <sz val="9"/>
        <color rgb="FF888888"/>
        <rFont val="Noto Sans CJK SC"/>
        <family val="2"/>
      </rPr>
      <t xml:space="preserve">負債體質未改善、技術面隨頂背離修正拖累估值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：營收成長打</t>
    </r>
    <r>
      <rPr>
        <i val="true"/>
        <sz val="9"/>
        <color rgb="FF888888"/>
        <rFont val="Arial"/>
        <family val="0"/>
        <charset val="1"/>
      </rPr>
      <t xml:space="preserve">6-7</t>
    </r>
    <r>
      <rPr>
        <i val="true"/>
        <sz val="9"/>
        <color rgb="FF888888"/>
        <rFont val="Noto Sans CJK SC"/>
        <family val="2"/>
      </rPr>
      <t xml:space="preserve">折於法人共識隱含成長率、毛利率回落至</t>
    </r>
    <r>
      <rPr>
        <i val="true"/>
        <sz val="9"/>
        <color rgb="FF888888"/>
        <rFont val="Arial"/>
        <family val="0"/>
        <charset val="1"/>
      </rPr>
      <t xml:space="preserve">22-23%</t>
    </r>
    <r>
      <rPr>
        <i val="true"/>
        <sz val="9"/>
        <color rgb="FF888888"/>
        <rFont val="Noto Sans CJK SC"/>
        <family val="2"/>
      </rPr>
      <t xml:space="preserve">，雙重下修使</t>
    </r>
    <r>
      <rPr>
        <i val="true"/>
        <sz val="9"/>
        <color rgb="FF888888"/>
        <rFont val="Arial"/>
        <family val="0"/>
        <charset val="1"/>
      </rPr>
      <t xml:space="preserve">EPS</t>
    </r>
    <r>
      <rPr>
        <i val="true"/>
        <sz val="9"/>
        <color rgb="FF888888"/>
        <rFont val="Noto Sans CJK SC"/>
        <family val="2"/>
      </rPr>
      <t xml:space="preserve">較基本情境約再腰斬</t>
    </r>
    <r>
      <rPr>
        <i val="true"/>
        <sz val="9"/>
        <color rgb="FF888888"/>
        <rFont val="Arial"/>
        <family val="0"/>
        <charset val="1"/>
      </rPr>
      <t xml:space="preserve">(-65%)</t>
    </r>
    <r>
      <rPr>
        <i val="true"/>
        <sz val="9"/>
        <color rgb="FF888888"/>
        <rFont val="Noto Sans CJK SC"/>
        <family val="2"/>
      </rPr>
      <t xml:space="preserve">，目標</t>
    </r>
    <r>
      <rPr>
        <i val="true"/>
        <sz val="9"/>
        <color rgb="FF888888"/>
        <rFont val="Arial"/>
        <family val="0"/>
        <charset val="1"/>
      </rPr>
      <t xml:space="preserve">PE</t>
    </r>
    <r>
      <rPr>
        <i val="true"/>
        <sz val="9"/>
        <color rgb="FF888888"/>
        <rFont val="Noto Sans CJK SC"/>
        <family val="2"/>
      </rPr>
      <t xml:space="preserve">壓至</t>
    </r>
    <r>
      <rPr>
        <i val="true"/>
        <sz val="9"/>
        <color rgb="FF888888"/>
        <rFont val="Arial"/>
        <family val="0"/>
        <charset val="1"/>
      </rPr>
      <t xml:space="preserve">25-30x</t>
    </r>
    <r>
      <rPr>
        <i val="true"/>
        <sz val="9"/>
        <color rgb="FF888888"/>
        <rFont val="Noto Sans CJK SC"/>
        <family val="2"/>
      </rPr>
      <t xml:space="preserve">取中</t>
    </r>
    <r>
      <rPr>
        <i val="true"/>
        <sz val="9"/>
        <color rgb="FF888888"/>
        <rFont val="Arial"/>
        <family val="0"/>
        <charset val="1"/>
      </rPr>
      <t xml:space="preserve">27.5x(</t>
    </r>
    <r>
      <rPr>
        <i val="true"/>
        <sz val="9"/>
        <color rgb="FF888888"/>
        <rFont val="Noto Sans CJK SC"/>
        <family val="2"/>
      </rPr>
      <t xml:space="preserve">戴維斯雙殺</t>
    </r>
    <r>
      <rPr>
        <i val="true"/>
        <sz val="9"/>
        <color rgb="FF888888"/>
        <rFont val="Arial"/>
        <family val="0"/>
        <charset val="1"/>
      </rPr>
      <t xml:space="preserve">)</t>
    </r>
  </si>
  <si>
    <r>
      <rPr>
        <b val="true"/>
        <sz val="14"/>
        <color rgb="FF1A2540"/>
        <rFont val="Arial"/>
        <family val="0"/>
        <charset val="1"/>
      </rPr>
      <t xml:space="preserve">EPS </t>
    </r>
    <r>
      <rPr>
        <b val="true"/>
        <sz val="14"/>
        <color rgb="FF1A2540"/>
        <rFont val="Noto Sans CJK SC"/>
        <family val="2"/>
      </rPr>
      <t xml:space="preserve">計算（全公式，勿直接改本表——請改 </t>
    </r>
    <r>
      <rPr>
        <b val="true"/>
        <sz val="14"/>
        <color rgb="FF1A2540"/>
        <rFont val="Arial"/>
        <family val="0"/>
        <charset val="1"/>
      </rPr>
      <t xml:space="preserve">1_</t>
    </r>
    <r>
      <rPr>
        <b val="true"/>
        <sz val="14"/>
        <color rgb="FF1A2540"/>
        <rFont val="Noto Sans CJK SC"/>
        <family val="2"/>
      </rPr>
      <t xml:space="preserve">輸入區）</t>
    </r>
  </si>
  <si>
    <t xml:space="preserve">2025A</t>
  </si>
  <si>
    <t xml:space="preserve">2026E</t>
  </si>
  <si>
    <t xml:space="preserve">2027E</t>
  </si>
  <si>
    <t xml:space="preserve">2028E</t>
  </si>
  <si>
    <r>
      <rPr>
        <sz val="10"/>
        <color rgb="FF000000"/>
        <rFont val="Arial"/>
        <family val="0"/>
        <charset val="1"/>
      </rPr>
      <t xml:space="preserve">ELL+SLL </t>
    </r>
    <r>
      <rPr>
        <sz val="10"/>
        <color rgb="FF000000"/>
        <rFont val="Noto Sans CJK SC"/>
        <family val="2"/>
      </rPr>
      <t xml:space="preserve">超低損耗材料（對應</t>
    </r>
    <r>
      <rPr>
        <sz val="10"/>
        <color rgb="FF000000"/>
        <rFont val="Arial"/>
        <family val="0"/>
        <charset val="1"/>
      </rPr>
      <t xml:space="preserve">800G</t>
    </r>
    <r>
      <rPr>
        <sz val="10"/>
        <color rgb="FF000000"/>
        <rFont val="Noto Sans CJK SC"/>
        <family val="2"/>
      </rPr>
      <t xml:space="preserve">交換器</t>
    </r>
    <r>
      <rPr>
        <sz val="10"/>
        <color rgb="FF000000"/>
        <rFont val="Arial"/>
        <family val="0"/>
        <charset val="1"/>
      </rPr>
      <t xml:space="preserve">/AI ASIC</t>
    </r>
    <r>
      <rPr>
        <sz val="10"/>
        <color rgb="FF000000"/>
        <rFont val="Noto Sans CJK SC"/>
        <family val="2"/>
      </rPr>
      <t xml:space="preserve">） 營收</t>
    </r>
  </si>
  <si>
    <r>
      <rPr>
        <sz val="10"/>
        <color rgb="FF000000"/>
        <rFont val="Arial"/>
        <family val="0"/>
        <charset val="1"/>
      </rPr>
      <t xml:space="preserve">VLL+LL </t>
    </r>
    <r>
      <rPr>
        <sz val="10"/>
        <color rgb="FF000000"/>
        <rFont val="Noto Sans CJK SC"/>
        <family val="2"/>
      </rPr>
      <t xml:space="preserve">低損耗材料 營收</t>
    </r>
  </si>
  <si>
    <r>
      <rPr>
        <sz val="10"/>
        <color rgb="FF000000"/>
        <rFont val="Arial"/>
        <family val="0"/>
        <charset val="1"/>
      </rPr>
      <t xml:space="preserve">HDI+N-LL </t>
    </r>
    <r>
      <rPr>
        <sz val="10"/>
        <color rgb="FF000000"/>
        <rFont val="Noto Sans CJK SC"/>
        <family val="2"/>
      </rPr>
      <t xml:space="preserve">營收</t>
    </r>
  </si>
  <si>
    <t xml:space="preserve">其他 營收</t>
  </si>
  <si>
    <t xml:space="preserve">總營收（億元）</t>
  </si>
  <si>
    <t xml:space="preserve">n/a</t>
  </si>
  <si>
    <t xml:space="preserve">營業毛利（億元）</t>
  </si>
  <si>
    <t xml:space="preserve">營業利益（億元）</t>
  </si>
  <si>
    <t xml:space="preserve">業外收支率</t>
  </si>
  <si>
    <t xml:space="preserve">稅前淨利（億元）</t>
  </si>
  <si>
    <t xml:space="preserve">稅後淨利（億元）</t>
  </si>
  <si>
    <r>
      <rPr>
        <b val="true"/>
        <sz val="10"/>
        <rFont val="Arial"/>
        <family val="0"/>
        <charset val="1"/>
      </rPr>
      <t xml:space="preserve">EPS</t>
    </r>
    <r>
      <rPr>
        <b val="true"/>
        <sz val="10"/>
        <rFont val="Noto Sans CJK SC"/>
        <family val="2"/>
      </rPr>
      <t xml:space="preserve">（元）</t>
    </r>
  </si>
  <si>
    <r>
      <rPr>
        <sz val="10"/>
        <color rgb="FF000000"/>
        <rFont val="Noto Sans CJK SC"/>
        <family val="2"/>
      </rPr>
      <t xml:space="preserve">目標價（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下緣）</t>
    </r>
  </si>
  <si>
    <r>
      <rPr>
        <sz val="10"/>
        <color rgb="FF000000"/>
        <rFont val="Noto Sans CJK SC"/>
        <family val="2"/>
      </rPr>
      <t xml:space="preserve">目標價（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上緣）</t>
    </r>
  </si>
  <si>
    <t xml:space="preserve">敏感度矩陣（以最後預測年度為基準）</t>
  </si>
  <si>
    <r>
      <rPr>
        <b val="true"/>
        <sz val="11"/>
        <color rgb="FFFFFFFF"/>
        <rFont val="Noto Sans CJK SC"/>
        <family val="2"/>
      </rPr>
      <t xml:space="preserve">矩陣</t>
    </r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：</t>
    </r>
    <r>
      <rPr>
        <b val="true"/>
        <sz val="11"/>
        <color rgb="FFFFFFFF"/>
        <rFont val="Arial"/>
        <family val="0"/>
        <charset val="1"/>
      </rPr>
      <t xml:space="preserve">2028E </t>
    </r>
    <r>
      <rPr>
        <b val="true"/>
        <sz val="11"/>
        <color rgb="FFFFFFFF"/>
        <rFont val="Noto Sans CJK SC"/>
        <family val="2"/>
      </rPr>
      <t xml:space="preserve">總營收</t>
    </r>
    <r>
      <rPr>
        <b val="true"/>
        <sz val="11"/>
        <color rgb="FFFFFFFF"/>
        <rFont val="Arial"/>
        <family val="0"/>
        <charset val="1"/>
      </rPr>
      <t xml:space="preserve">YoY × </t>
    </r>
    <r>
      <rPr>
        <b val="true"/>
        <sz val="11"/>
        <color rgb="FFFFFFFF"/>
        <rFont val="Noto Sans CJK SC"/>
        <family val="2"/>
      </rPr>
      <t xml:space="preserve">毛利率 → </t>
    </r>
    <r>
      <rPr>
        <b val="true"/>
        <sz val="11"/>
        <color rgb="FFFFFFFF"/>
        <rFont val="Arial"/>
        <family val="0"/>
        <charset val="1"/>
      </rPr>
      <t xml:space="preserve">EPS</t>
    </r>
  </si>
  <si>
    <r>
      <rPr>
        <b val="true"/>
        <sz val="10"/>
        <rFont val="Noto Sans CJK SC"/>
        <family val="2"/>
      </rPr>
      <t xml:space="preserve">營收</t>
    </r>
    <r>
      <rPr>
        <b val="true"/>
        <sz val="10"/>
        <rFont val="Arial"/>
        <family val="0"/>
        <charset val="1"/>
      </rPr>
      <t xml:space="preserve">YoY\</t>
    </r>
    <r>
      <rPr>
        <b val="true"/>
        <sz val="10"/>
        <rFont val="Noto Sans CJK SC"/>
        <family val="2"/>
      </rPr>
      <t xml:space="preserve">毛利率</t>
    </r>
  </si>
  <si>
    <r>
      <rPr>
        <b val="true"/>
        <sz val="11"/>
        <color rgb="FFFFFFFF"/>
        <rFont val="Noto Sans CJK SC"/>
        <family val="2"/>
      </rPr>
      <t xml:space="preserve">矩陣</t>
    </r>
    <r>
      <rPr>
        <b val="true"/>
        <sz val="11"/>
        <color rgb="FFFFFFFF"/>
        <rFont val="Arial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：</t>
    </r>
    <r>
      <rPr>
        <b val="true"/>
        <sz val="11"/>
        <color rgb="FFFFFFFF"/>
        <rFont val="Arial"/>
        <family val="0"/>
        <charset val="1"/>
      </rPr>
      <t xml:space="preserve">2028E EPS × PE → </t>
    </r>
    <r>
      <rPr>
        <b val="true"/>
        <sz val="11"/>
        <color rgb="FFFFFFFF"/>
        <rFont val="Noto Sans CJK SC"/>
        <family val="2"/>
      </rPr>
      <t xml:space="preserve">目標價（綠＝高於現價，紅＝低於現價）</t>
    </r>
  </si>
  <si>
    <t xml:space="preserve">EPS\PE</t>
  </si>
  <si>
    <r>
      <rPr>
        <b val="true"/>
        <sz val="14"/>
        <color rgb="FF1A2540"/>
        <rFont val="Noto Sans CJK SC"/>
        <family val="2"/>
      </rPr>
      <t xml:space="preserve">三情境目標價 </t>
    </r>
    <r>
      <rPr>
        <b val="true"/>
        <sz val="14"/>
        <color rgb="FF1A2540"/>
        <rFont val="Arial"/>
        <family val="0"/>
        <charset val="1"/>
      </rPr>
      <t xml:space="preserve">+ </t>
    </r>
    <r>
      <rPr>
        <b val="true"/>
        <sz val="14"/>
        <color rgb="FF1A2540"/>
        <rFont val="Noto Sans CJK SC"/>
        <family val="2"/>
      </rPr>
      <t xml:space="preserve">機率加權 </t>
    </r>
    <r>
      <rPr>
        <b val="true"/>
        <sz val="14"/>
        <color rgb="FF1A2540"/>
        <rFont val="Arial"/>
        <family val="0"/>
        <charset val="1"/>
      </rPr>
      <t xml:space="preserve">+ </t>
    </r>
    <r>
      <rPr>
        <b val="true"/>
        <sz val="14"/>
        <color rgb="FF1A2540"/>
        <rFont val="Noto Sans CJK SC"/>
        <family val="2"/>
      </rPr>
      <t xml:space="preserve">隱含成長率檢核</t>
    </r>
  </si>
  <si>
    <t xml:space="preserve">2028E EPS</t>
  </si>
  <si>
    <r>
      <rPr>
        <b val="true"/>
        <sz val="10"/>
        <rFont val="Noto Sans CJK SC"/>
        <family val="2"/>
      </rPr>
      <t xml:space="preserve">情境</t>
    </r>
    <r>
      <rPr>
        <b val="true"/>
        <sz val="10"/>
        <rFont val="Arial"/>
        <family val="0"/>
        <charset val="1"/>
      </rPr>
      <t xml:space="preserve">PE</t>
    </r>
  </si>
  <si>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現價</t>
    </r>
  </si>
  <si>
    <t xml:space="preserve">機率加權目標價</t>
  </si>
  <si>
    <r>
      <rPr>
        <b val="true"/>
        <sz val="10"/>
        <rFont val="Noto Sans CJK SC"/>
        <family val="2"/>
      </rPr>
      <t xml:space="preserve">現況本益比基準對照組（不含重評假設，僅反映</t>
    </r>
    <r>
      <rPr>
        <b val="true"/>
        <sz val="10"/>
        <rFont val="Arial"/>
        <family val="0"/>
        <charset val="1"/>
      </rPr>
      <t xml:space="preserve">EPS</t>
    </r>
    <r>
      <rPr>
        <b val="true"/>
        <sz val="10"/>
        <rFont val="Noto Sans CJK SC"/>
        <family val="2"/>
      </rPr>
      <t xml:space="preserve">成長）</t>
    </r>
  </si>
  <si>
    <r>
      <rPr>
        <i val="true"/>
        <sz val="9"/>
        <color rgb="FF888888"/>
        <rFont val="Noto Sans CJK SC"/>
        <family val="2"/>
      </rPr>
      <t xml:space="preserve">用途：情境目標價已內含</t>
    </r>
    <r>
      <rPr>
        <i val="true"/>
        <sz val="9"/>
        <color rgb="FF888888"/>
        <rFont val="Arial"/>
        <family val="0"/>
        <charset val="1"/>
      </rPr>
      <t xml:space="preserve">PE</t>
    </r>
    <r>
      <rPr>
        <i val="true"/>
        <sz val="9"/>
        <color rgb="FF888888"/>
        <rFont val="Noto Sans CJK SC"/>
        <family val="2"/>
      </rPr>
      <t xml:space="preserve">重評（現況本益比→</t>
    </r>
    <r>
      <rPr>
        <i val="true"/>
        <sz val="9"/>
        <color rgb="FF888888"/>
        <rFont val="Arial"/>
        <family val="0"/>
        <charset val="1"/>
      </rPr>
      <t xml:space="preserve">22-26x</t>
    </r>
    <r>
      <rPr>
        <i val="true"/>
        <sz val="9"/>
        <color rgb="FF888888"/>
        <rFont val="Noto Sans CJK SC"/>
        <family val="2"/>
      </rPr>
      <t xml:space="preserve">），此組固定用現況</t>
    </r>
    <r>
      <rPr>
        <i val="true"/>
        <sz val="9"/>
        <color rgb="FF888888"/>
        <rFont val="Arial"/>
        <family val="0"/>
        <charset val="1"/>
      </rPr>
      <t xml:space="preserve">PE</t>
    </r>
    <r>
      <rPr>
        <i val="true"/>
        <sz val="9"/>
        <color rgb="FF888888"/>
        <rFont val="Noto Sans CJK SC"/>
        <family val="2"/>
      </rPr>
      <t xml:space="preserve">，隔離「純獲利成長」帶來的目標價，供交叉比對</t>
    </r>
  </si>
  <si>
    <t xml:space="preserve">年度</t>
  </si>
  <si>
    <r>
      <rPr>
        <b val="true"/>
        <sz val="10"/>
        <rFont val="Noto Sans CJK SC"/>
        <family val="2"/>
      </rPr>
      <t xml:space="preserve">現況</t>
    </r>
    <r>
      <rPr>
        <b val="true"/>
        <sz val="10"/>
        <rFont val="Arial"/>
        <family val="0"/>
        <charset val="1"/>
      </rPr>
      <t xml:space="preserve">PE</t>
    </r>
    <r>
      <rPr>
        <b val="true"/>
        <sz val="10"/>
        <rFont val="Noto Sans CJK SC"/>
        <family val="2"/>
      </rPr>
      <t xml:space="preserve">基準</t>
    </r>
  </si>
  <si>
    <t xml:space="preserve">目標價（不重評）</t>
  </si>
  <si>
    <t xml:space="preserve">隱含成長率檢核（現價反推）</t>
  </si>
  <si>
    <t xml:space="preserve">股價隱含年化成長率</t>
  </si>
  <si>
    <r>
      <rPr>
        <sz val="10"/>
        <color rgb="FF000000"/>
        <rFont val="Noto Sans CJK SC"/>
        <family val="2"/>
      </rPr>
      <t xml:space="preserve">隱含成長率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產業平均</t>
    </r>
  </si>
  <si>
    <t xml:space="preserve">判讀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</si>
</sst>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0"/>
    <numFmt numFmtId="167" formatCode="0.0%"/>
    <numFmt numFmtId="168" formatCode="0.00%"/>
    <numFmt numFmtId="169" formatCode="0.0\x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540"/>
      <name val="Noto Sans CJK SC"/>
      <family val="2"/>
    </font>
    <font>
      <b val="true"/>
      <sz val="14"/>
      <color rgb="FF1A2540"/>
      <name val="Arial"/>
      <family val="0"/>
      <charset val="1"/>
    </font>
    <font>
      <i val="true"/>
      <sz val="9"/>
      <color rgb="FF888888"/>
      <name val="Noto Sans CJK SC"/>
      <family val="2"/>
    </font>
    <font>
      <i val="true"/>
      <sz val="9"/>
      <color rgb="FF888888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A2540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E4B5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E4B5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6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6" t="s">
        <v>12</v>
      </c>
      <c r="D6" s="4" t="s">
        <v>9</v>
      </c>
    </row>
    <row r="7" customFormat="false" ht="15" hidden="false" customHeight="false" outlineLevel="0" collapsed="false">
      <c r="A7" s="5" t="s">
        <v>13</v>
      </c>
      <c r="B7" s="5" t="s">
        <v>14</v>
      </c>
      <c r="C7" s="6" t="s">
        <v>15</v>
      </c>
      <c r="D7" s="4" t="s">
        <v>16</v>
      </c>
    </row>
    <row r="8" customFormat="false" ht="15" hidden="false" customHeight="false" outlineLevel="0" collapsed="false">
      <c r="A8" s="5" t="s">
        <v>17</v>
      </c>
      <c r="B8" s="5" t="s">
        <v>18</v>
      </c>
      <c r="C8" s="7" t="s">
        <v>19</v>
      </c>
      <c r="D8" s="4" t="s">
        <v>16</v>
      </c>
    </row>
    <row r="9" customFormat="false" ht="15" hidden="false" customHeight="false" outlineLevel="0" collapsed="false">
      <c r="A9" s="5" t="s">
        <v>20</v>
      </c>
      <c r="B9" s="5" t="s">
        <v>21</v>
      </c>
      <c r="C9" s="7" t="s">
        <v>22</v>
      </c>
      <c r="D9" s="4" t="s">
        <v>16</v>
      </c>
    </row>
    <row r="10" customFormat="false" ht="15" hidden="false" customHeight="false" outlineLevel="0" collapsed="false">
      <c r="A10" s="4" t="s">
        <v>23</v>
      </c>
      <c r="B10" s="5" t="s">
        <v>24</v>
      </c>
      <c r="C10" s="7" t="s">
        <v>25</v>
      </c>
      <c r="D10" s="4" t="s">
        <v>16</v>
      </c>
    </row>
    <row r="11" customFormat="false" ht="15" hidden="false" customHeight="false" outlineLevel="0" collapsed="false">
      <c r="A11" s="4" t="s">
        <v>26</v>
      </c>
      <c r="B11" s="5" t="s">
        <v>27</v>
      </c>
      <c r="C11" s="6" t="s">
        <v>28</v>
      </c>
      <c r="D11" s="5" t="s">
        <v>29</v>
      </c>
    </row>
    <row r="12" customFormat="false" ht="15" hidden="false" customHeight="false" outlineLevel="0" collapsed="false">
      <c r="A12" s="4" t="s">
        <v>30</v>
      </c>
      <c r="B12" s="5" t="s">
        <v>31</v>
      </c>
      <c r="C12" s="7" t="s">
        <v>32</v>
      </c>
      <c r="D12" s="4" t="s">
        <v>33</v>
      </c>
    </row>
    <row r="13" customFormat="false" ht="15" hidden="false" customHeight="false" outlineLevel="0" collapsed="false">
      <c r="A13" s="4" t="s">
        <v>34</v>
      </c>
      <c r="B13" s="5" t="s">
        <v>35</v>
      </c>
      <c r="C13" s="6" t="s">
        <v>36</v>
      </c>
      <c r="D13" s="4" t="s">
        <v>37</v>
      </c>
    </row>
    <row r="14" customFormat="false" ht="15" hidden="false" customHeight="false" outlineLevel="0" collapsed="false">
      <c r="A14" s="4" t="s">
        <v>38</v>
      </c>
      <c r="B14" s="5" t="s">
        <v>39</v>
      </c>
      <c r="C14" s="7" t="s">
        <v>40</v>
      </c>
      <c r="D14" s="4" t="s">
        <v>41</v>
      </c>
    </row>
    <row r="15" customFormat="false" ht="15" hidden="false" customHeight="false" outlineLevel="0" collapsed="false">
      <c r="A15" s="4" t="s">
        <v>42</v>
      </c>
      <c r="B15" s="4" t="s">
        <v>43</v>
      </c>
      <c r="C15" s="7" t="s">
        <v>44</v>
      </c>
      <c r="D15" s="4" t="s">
        <v>45</v>
      </c>
    </row>
    <row r="16" customFormat="false" ht="15" hidden="false" customHeight="false" outlineLevel="0" collapsed="false">
      <c r="A16" s="4" t="s">
        <v>46</v>
      </c>
      <c r="B16" s="5" t="s">
        <v>47</v>
      </c>
      <c r="C16" s="7" t="s">
        <v>48</v>
      </c>
      <c r="D16" s="5" t="s">
        <v>49</v>
      </c>
    </row>
    <row r="17" customFormat="false" ht="15" hidden="false" customHeight="false" outlineLevel="0" collapsed="false">
      <c r="A17" s="4" t="s">
        <v>50</v>
      </c>
      <c r="B17" s="5" t="s">
        <v>51</v>
      </c>
      <c r="C17" s="7" t="s">
        <v>52</v>
      </c>
      <c r="D17" s="4" t="s">
        <v>53</v>
      </c>
    </row>
    <row r="18" customFormat="false" ht="15" hidden="false" customHeight="false" outlineLevel="0" collapsed="false">
      <c r="A18" s="4" t="s">
        <v>54</v>
      </c>
      <c r="B18" s="4" t="s">
        <v>55</v>
      </c>
      <c r="C18" s="7" t="s">
        <v>56</v>
      </c>
      <c r="D18" s="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5" min="3" style="0" width="13"/>
    <col collapsed="false" customWidth="true" hidden="false" outlineLevel="0" max="6" min="6" style="0" width="40"/>
    <col collapsed="false" customWidth="true" hidden="false" outlineLevel="0" max="7" min="7" style="0" width="10"/>
  </cols>
  <sheetData>
    <row r="1" customFormat="false" ht="21.6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8" t="s">
        <v>60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4" t="s">
        <v>61</v>
      </c>
      <c r="B5" s="9" t="n">
        <v>1570</v>
      </c>
      <c r="C5" s="2" t="s">
        <v>62</v>
      </c>
    </row>
    <row r="6" customFormat="false" ht="15" hidden="false" customHeight="false" outlineLevel="0" collapsed="false">
      <c r="A6" s="4" t="s">
        <v>63</v>
      </c>
      <c r="B6" s="10" t="n">
        <v>2.88774637</v>
      </c>
      <c r="C6" s="2" t="s">
        <v>64</v>
      </c>
    </row>
    <row r="7" customFormat="false" ht="15" hidden="false" customHeight="false" outlineLevel="0" collapsed="false">
      <c r="A7" s="4" t="s">
        <v>65</v>
      </c>
      <c r="B7" s="11" t="s">
        <v>66</v>
      </c>
    </row>
    <row r="8" customFormat="false" ht="15" hidden="false" customHeight="false" outlineLevel="0" collapsed="false">
      <c r="A8" s="4" t="s">
        <v>67</v>
      </c>
      <c r="B8" s="10" t="n">
        <v>12.13</v>
      </c>
      <c r="C8" s="2" t="s">
        <v>68</v>
      </c>
    </row>
    <row r="10" customFormat="false" ht="15" hidden="false" customHeight="false" outlineLevel="0" collapsed="false">
      <c r="A10" s="8" t="s">
        <v>69</v>
      </c>
      <c r="B10" s="8"/>
      <c r="C10" s="8"/>
      <c r="D10" s="8"/>
      <c r="E10" s="8"/>
      <c r="F10" s="8"/>
    </row>
    <row r="11" customFormat="false" ht="15" hidden="false" customHeight="false" outlineLevel="0" collapsed="false">
      <c r="A11" s="3" t="s">
        <v>70</v>
      </c>
      <c r="B11" s="12" t="s">
        <v>71</v>
      </c>
      <c r="C11" s="12" t="s">
        <v>72</v>
      </c>
      <c r="D11" s="12" t="s">
        <v>73</v>
      </c>
      <c r="E11" s="12" t="s">
        <v>74</v>
      </c>
      <c r="F11" s="3" t="s">
        <v>75</v>
      </c>
    </row>
    <row r="12" customFormat="false" ht="15" hidden="false" customHeight="false" outlineLevel="0" collapsed="false">
      <c r="A12" s="5" t="s">
        <v>76</v>
      </c>
      <c r="B12" s="9" t="n">
        <v>115.29</v>
      </c>
      <c r="C12" s="13" t="n">
        <v>1.35</v>
      </c>
      <c r="D12" s="13" t="n">
        <v>1</v>
      </c>
      <c r="E12" s="13" t="n">
        <v>0.65</v>
      </c>
      <c r="F12" s="2" t="s">
        <v>77</v>
      </c>
    </row>
    <row r="13" customFormat="false" ht="15" hidden="false" customHeight="false" outlineLevel="0" collapsed="false">
      <c r="A13" s="5" t="s">
        <v>78</v>
      </c>
      <c r="B13" s="9" t="n">
        <v>97.09</v>
      </c>
      <c r="C13" s="13" t="n">
        <v>0.9</v>
      </c>
      <c r="D13" s="13" t="n">
        <v>0.65</v>
      </c>
      <c r="E13" s="13" t="n">
        <v>0.5</v>
      </c>
      <c r="F13" s="2" t="s">
        <v>79</v>
      </c>
    </row>
    <row r="14" customFormat="false" ht="15" hidden="false" customHeight="false" outlineLevel="0" collapsed="false">
      <c r="A14" s="5" t="s">
        <v>80</v>
      </c>
      <c r="B14" s="9" t="n">
        <v>54.61</v>
      </c>
      <c r="C14" s="13" t="n">
        <v>0.6</v>
      </c>
      <c r="D14" s="13" t="n">
        <v>0.55</v>
      </c>
      <c r="E14" s="13" t="n">
        <v>0.4</v>
      </c>
      <c r="F14" s="2" t="s">
        <v>81</v>
      </c>
    </row>
    <row r="15" customFormat="false" ht="15" hidden="false" customHeight="false" outlineLevel="0" collapsed="false">
      <c r="A15" s="4" t="s">
        <v>82</v>
      </c>
      <c r="B15" s="9" t="n">
        <v>36.41</v>
      </c>
      <c r="C15" s="13" t="n">
        <v>0.5</v>
      </c>
      <c r="D15" s="13" t="n">
        <v>0.45</v>
      </c>
      <c r="E15" s="13" t="n">
        <v>0.35</v>
      </c>
      <c r="F15" s="2" t="s">
        <v>83</v>
      </c>
    </row>
    <row r="17" customFormat="false" ht="15" hidden="false" customHeight="false" outlineLevel="0" collapsed="false">
      <c r="A17" s="8" t="s">
        <v>84</v>
      </c>
      <c r="B17" s="8"/>
      <c r="C17" s="8"/>
      <c r="D17" s="8"/>
      <c r="E17" s="8"/>
      <c r="F17" s="8"/>
    </row>
    <row r="18" customFormat="false" ht="15" hidden="false" customHeight="false" outlineLevel="0" collapsed="false">
      <c r="A18" s="3" t="s">
        <v>85</v>
      </c>
      <c r="B18" s="12" t="s">
        <v>86</v>
      </c>
      <c r="C18" s="12" t="s">
        <v>87</v>
      </c>
      <c r="D18" s="12" t="s">
        <v>88</v>
      </c>
      <c r="E18" s="3" t="s">
        <v>75</v>
      </c>
    </row>
    <row r="19" customFormat="false" ht="15" hidden="false" customHeight="false" outlineLevel="0" collapsed="false">
      <c r="A19" s="4" t="s">
        <v>89</v>
      </c>
      <c r="B19" s="14" t="n">
        <v>0.29</v>
      </c>
      <c r="C19" s="14" t="n">
        <v>0.32</v>
      </c>
      <c r="D19" s="14" t="n">
        <v>0.35</v>
      </c>
      <c r="E19" s="2" t="s">
        <v>90</v>
      </c>
    </row>
    <row r="20" customFormat="false" ht="15" hidden="false" customHeight="false" outlineLevel="0" collapsed="false">
      <c r="A20" s="4" t="s">
        <v>91</v>
      </c>
      <c r="B20" s="14" t="n">
        <v>0.08</v>
      </c>
      <c r="C20" s="14" t="n">
        <v>0.075</v>
      </c>
      <c r="D20" s="14" t="n">
        <v>0.07</v>
      </c>
      <c r="E20" s="2" t="s">
        <v>92</v>
      </c>
    </row>
    <row r="21" customFormat="false" ht="15" hidden="false" customHeight="false" outlineLevel="0" collapsed="false">
      <c r="A21" s="4" t="s">
        <v>93</v>
      </c>
      <c r="B21" s="14" t="n">
        <v>-0.003</v>
      </c>
      <c r="C21" s="14" t="n">
        <v>-0.003</v>
      </c>
      <c r="D21" s="14" t="n">
        <v>-0.003</v>
      </c>
      <c r="E21" s="2" t="s">
        <v>94</v>
      </c>
    </row>
    <row r="22" customFormat="false" ht="15" hidden="false" customHeight="false" outlineLevel="0" collapsed="false">
      <c r="A22" s="4" t="s">
        <v>95</v>
      </c>
      <c r="B22" s="13" t="n">
        <v>0.2</v>
      </c>
      <c r="C22" s="13" t="n">
        <v>0.2</v>
      </c>
      <c r="D22" s="13" t="n">
        <v>0.2</v>
      </c>
      <c r="E22" s="2" t="s">
        <v>96</v>
      </c>
    </row>
    <row r="24" customFormat="false" ht="15" hidden="false" customHeight="false" outlineLevel="0" collapsed="false">
      <c r="A24" s="8" t="s">
        <v>97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4" t="s">
        <v>98</v>
      </c>
      <c r="B25" s="15" t="n">
        <v>45</v>
      </c>
      <c r="C25" s="2" t="s">
        <v>99</v>
      </c>
    </row>
    <row r="26" customFormat="false" ht="15" hidden="false" customHeight="false" outlineLevel="0" collapsed="false">
      <c r="A26" s="4" t="s">
        <v>100</v>
      </c>
      <c r="B26" s="15" t="n">
        <v>50</v>
      </c>
    </row>
    <row r="27" customFormat="false" ht="15" hidden="false" customHeight="false" outlineLevel="0" collapsed="false">
      <c r="A27" s="4" t="s">
        <v>101</v>
      </c>
      <c r="B27" s="15" t="n">
        <v>47.5</v>
      </c>
    </row>
    <row r="28" customFormat="false" ht="15" hidden="false" customHeight="false" outlineLevel="0" collapsed="false">
      <c r="A28" s="4" t="s">
        <v>102</v>
      </c>
      <c r="B28" s="16" t="n">
        <v>1.5</v>
      </c>
    </row>
    <row r="29" customFormat="false" ht="15" hidden="false" customHeight="false" outlineLevel="0" collapsed="false">
      <c r="A29" s="4" t="s">
        <v>103</v>
      </c>
      <c r="B29" s="13" t="n">
        <v>0.19</v>
      </c>
      <c r="C29" s="2" t="s">
        <v>104</v>
      </c>
    </row>
    <row r="30" customFormat="false" ht="15" hidden="false" customHeight="false" outlineLevel="0" collapsed="false">
      <c r="A30" s="4" t="s">
        <v>105</v>
      </c>
      <c r="B30" s="15" t="n">
        <v>113.44</v>
      </c>
      <c r="C30" s="2" t="s">
        <v>106</v>
      </c>
    </row>
    <row r="32" customFormat="false" ht="15" hidden="false" customHeight="false" outlineLevel="0" collapsed="false">
      <c r="A32" s="8" t="s">
        <v>107</v>
      </c>
      <c r="B32" s="8"/>
      <c r="C32" s="8"/>
      <c r="D32" s="8"/>
      <c r="E32" s="8"/>
      <c r="F32" s="8"/>
    </row>
    <row r="33" customFormat="false" ht="15" hidden="false" customHeight="false" outlineLevel="0" collapsed="false">
      <c r="A33" s="3" t="s">
        <v>108</v>
      </c>
      <c r="B33" s="3" t="s">
        <v>109</v>
      </c>
      <c r="C33" s="3" t="s">
        <v>110</v>
      </c>
      <c r="D33" s="3" t="s">
        <v>111</v>
      </c>
      <c r="E33" s="3" t="s">
        <v>112</v>
      </c>
      <c r="F33" s="3" t="s">
        <v>113</v>
      </c>
    </row>
    <row r="34" customFormat="false" ht="15" hidden="false" customHeight="false" outlineLevel="0" collapsed="false">
      <c r="A34" s="4" t="s">
        <v>114</v>
      </c>
      <c r="B34" s="13" t="n">
        <v>0.25</v>
      </c>
      <c r="C34" s="13" t="n">
        <v>0.2</v>
      </c>
      <c r="D34" s="14" t="n">
        <v>0.03</v>
      </c>
      <c r="E34" s="15" t="n">
        <v>65</v>
      </c>
      <c r="F34" s="17" t="s">
        <v>115</v>
      </c>
    </row>
    <row r="35" customFormat="false" ht="15" hidden="false" customHeight="false" outlineLevel="0" collapsed="false">
      <c r="A35" s="4" t="s">
        <v>116</v>
      </c>
      <c r="B35" s="13" t="n">
        <v>0.45</v>
      </c>
      <c r="C35" s="13" t="n">
        <v>0</v>
      </c>
      <c r="D35" s="14" t="n">
        <v>0</v>
      </c>
      <c r="E35" s="15" t="n">
        <v>47.5</v>
      </c>
      <c r="F35" s="2" t="s">
        <v>117</v>
      </c>
    </row>
    <row r="36" customFormat="false" ht="15" hidden="false" customHeight="false" outlineLevel="0" collapsed="false">
      <c r="A36" s="4" t="s">
        <v>118</v>
      </c>
      <c r="B36" s="13" t="n">
        <v>0.3</v>
      </c>
      <c r="C36" s="13" t="n">
        <v>-0.65</v>
      </c>
      <c r="D36" s="14" t="n">
        <v>-0.125</v>
      </c>
      <c r="E36" s="15" t="n">
        <v>27.5</v>
      </c>
      <c r="F36" s="2" t="s">
        <v>119</v>
      </c>
    </row>
  </sheetData>
  <mergeCells count="5">
    <mergeCell ref="A4:F4"/>
    <mergeCell ref="A10:F10"/>
    <mergeCell ref="A17:F17"/>
    <mergeCell ref="A24:F24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21.6" hidden="false" customHeight="false" outlineLevel="0" collapsed="false">
      <c r="A1" s="18" t="s">
        <v>120</v>
      </c>
    </row>
    <row r="3" customFormat="false" ht="15" hidden="false" customHeight="false" outlineLevel="0" collapsed="false">
      <c r="A3" s="3" t="s">
        <v>85</v>
      </c>
      <c r="B3" s="19" t="s">
        <v>121</v>
      </c>
      <c r="C3" s="19" t="s">
        <v>122</v>
      </c>
      <c r="D3" s="19" t="s">
        <v>123</v>
      </c>
      <c r="E3" s="19" t="s">
        <v>124</v>
      </c>
    </row>
    <row r="4" customFormat="false" ht="15" hidden="false" customHeight="false" outlineLevel="0" collapsed="false">
      <c r="A4" s="5" t="s">
        <v>125</v>
      </c>
      <c r="B4" s="20" t="n">
        <f aca="false">'1_輸入區'!B12</f>
        <v>115.29</v>
      </c>
      <c r="C4" s="21" t="n">
        <f aca="false">B4*(1+'1_輸入區'!C12)</f>
        <v>270.9315</v>
      </c>
      <c r="D4" s="21" t="n">
        <f aca="false">C4*(1+'1_輸入區'!D12)</f>
        <v>541.863</v>
      </c>
      <c r="E4" s="21" t="n">
        <f aca="false">D4*(1+'1_輸入區'!E12)</f>
        <v>894.07395</v>
      </c>
    </row>
    <row r="5" customFormat="false" ht="15" hidden="false" customHeight="false" outlineLevel="0" collapsed="false">
      <c r="A5" s="5" t="s">
        <v>126</v>
      </c>
      <c r="B5" s="20" t="n">
        <f aca="false">'1_輸入區'!B13</f>
        <v>97.09</v>
      </c>
      <c r="C5" s="21" t="n">
        <f aca="false">B5*(1+'1_輸入區'!C13)</f>
        <v>184.471</v>
      </c>
      <c r="D5" s="21" t="n">
        <f aca="false">C5*(1+'1_輸入區'!D13)</f>
        <v>304.37715</v>
      </c>
      <c r="E5" s="21" t="n">
        <f aca="false">D5*(1+'1_輸入區'!E13)</f>
        <v>456.565725</v>
      </c>
    </row>
    <row r="6" customFormat="false" ht="15" hidden="false" customHeight="false" outlineLevel="0" collapsed="false">
      <c r="A6" s="5" t="s">
        <v>127</v>
      </c>
      <c r="B6" s="20" t="n">
        <f aca="false">'1_輸入區'!B14</f>
        <v>54.61</v>
      </c>
      <c r="C6" s="21" t="n">
        <f aca="false">B6*(1+'1_輸入區'!C14)</f>
        <v>87.376</v>
      </c>
      <c r="D6" s="21" t="n">
        <f aca="false">C6*(1+'1_輸入區'!D14)</f>
        <v>135.4328</v>
      </c>
      <c r="E6" s="21" t="n">
        <f aca="false">D6*(1+'1_輸入區'!E14)</f>
        <v>189.60592</v>
      </c>
    </row>
    <row r="7" customFormat="false" ht="15" hidden="false" customHeight="false" outlineLevel="0" collapsed="false">
      <c r="A7" s="4" t="s">
        <v>128</v>
      </c>
      <c r="B7" s="20" t="n">
        <f aca="false">'1_輸入區'!B15</f>
        <v>36.41</v>
      </c>
      <c r="C7" s="21" t="n">
        <f aca="false">B7*(1+'1_輸入區'!C15)</f>
        <v>54.615</v>
      </c>
      <c r="D7" s="21" t="n">
        <f aca="false">C7*(1+'1_輸入區'!D15)</f>
        <v>79.19175</v>
      </c>
      <c r="E7" s="21" t="n">
        <f aca="false">D7*(1+'1_輸入區'!E15)</f>
        <v>106.9088625</v>
      </c>
    </row>
    <row r="8" customFormat="false" ht="15" hidden="false" customHeight="false" outlineLevel="0" collapsed="false">
      <c r="A8" s="22" t="s">
        <v>129</v>
      </c>
      <c r="B8" s="23" t="n">
        <f aca="false">SUM(B4:B7)</f>
        <v>303.4</v>
      </c>
      <c r="C8" s="23" t="n">
        <f aca="false">SUM(C4:C7)</f>
        <v>597.3935</v>
      </c>
      <c r="D8" s="23" t="n">
        <f aca="false">SUM(D4:D7)</f>
        <v>1060.8647</v>
      </c>
      <c r="E8" s="23" t="n">
        <f aca="false">SUM(E4:E7)</f>
        <v>1647.1544575</v>
      </c>
    </row>
    <row r="9" customFormat="false" ht="15" hidden="false" customHeight="false" outlineLevel="0" collapsed="false">
      <c r="A9" s="4" t="s">
        <v>89</v>
      </c>
      <c r="B9" s="11" t="s">
        <v>130</v>
      </c>
      <c r="C9" s="24" t="n">
        <f aca="false">'1_輸入區'!B19</f>
        <v>0.29</v>
      </c>
      <c r="D9" s="24" t="n">
        <f aca="false">'1_輸入區'!C19</f>
        <v>0.32</v>
      </c>
      <c r="E9" s="24" t="n">
        <f aca="false">'1_輸入區'!D19</f>
        <v>0.35</v>
      </c>
    </row>
    <row r="10" customFormat="false" ht="15" hidden="false" customHeight="false" outlineLevel="0" collapsed="false">
      <c r="A10" s="4" t="s">
        <v>131</v>
      </c>
      <c r="B10" s="11" t="s">
        <v>130</v>
      </c>
      <c r="C10" s="21" t="n">
        <f aca="false">C8*C9</f>
        <v>173.244115</v>
      </c>
      <c r="D10" s="21" t="n">
        <f aca="false">D8*D9</f>
        <v>339.476704</v>
      </c>
      <c r="E10" s="21" t="n">
        <f aca="false">E8*E9</f>
        <v>576.504060125</v>
      </c>
    </row>
    <row r="11" customFormat="false" ht="15" hidden="false" customHeight="false" outlineLevel="0" collapsed="false">
      <c r="A11" s="4" t="s">
        <v>91</v>
      </c>
      <c r="B11" s="11" t="s">
        <v>130</v>
      </c>
      <c r="C11" s="24" t="n">
        <f aca="false">'1_輸入區'!B20</f>
        <v>0.08</v>
      </c>
      <c r="D11" s="24" t="n">
        <f aca="false">'1_輸入區'!C20</f>
        <v>0.075</v>
      </c>
      <c r="E11" s="24" t="n">
        <f aca="false">'1_輸入區'!D20</f>
        <v>0.07</v>
      </c>
    </row>
    <row r="12" customFormat="false" ht="15" hidden="false" customHeight="false" outlineLevel="0" collapsed="false">
      <c r="A12" s="4" t="s">
        <v>132</v>
      </c>
      <c r="B12" s="11" t="s">
        <v>130</v>
      </c>
      <c r="C12" s="21" t="n">
        <f aca="false">C10-C8*C11</f>
        <v>125.452635</v>
      </c>
      <c r="D12" s="21" t="n">
        <f aca="false">D10-D8*D11</f>
        <v>259.9118515</v>
      </c>
      <c r="E12" s="21" t="n">
        <f aca="false">E10-E8*E11</f>
        <v>461.2032481</v>
      </c>
    </row>
    <row r="13" customFormat="false" ht="15" hidden="false" customHeight="false" outlineLevel="0" collapsed="false">
      <c r="A13" s="4" t="s">
        <v>133</v>
      </c>
      <c r="B13" s="11" t="s">
        <v>130</v>
      </c>
      <c r="C13" s="24" t="n">
        <f aca="false">'1_輸入區'!B21</f>
        <v>-0.003</v>
      </c>
      <c r="D13" s="24" t="n">
        <f aca="false">'1_輸入區'!C21</f>
        <v>-0.003</v>
      </c>
      <c r="E13" s="24" t="n">
        <f aca="false">'1_輸入區'!D21</f>
        <v>-0.003</v>
      </c>
    </row>
    <row r="14" customFormat="false" ht="15" hidden="false" customHeight="false" outlineLevel="0" collapsed="false">
      <c r="A14" s="4" t="s">
        <v>134</v>
      </c>
      <c r="B14" s="11" t="s">
        <v>130</v>
      </c>
      <c r="C14" s="21" t="n">
        <f aca="false">C12+C8*C13</f>
        <v>123.6604545</v>
      </c>
      <c r="D14" s="21" t="n">
        <f aca="false">D12+D8*D13</f>
        <v>256.7292574</v>
      </c>
      <c r="E14" s="21" t="n">
        <f aca="false">E12+E8*E13</f>
        <v>456.2617847275</v>
      </c>
    </row>
    <row r="15" customFormat="false" ht="15" hidden="false" customHeight="false" outlineLevel="0" collapsed="false">
      <c r="A15" s="4" t="s">
        <v>95</v>
      </c>
      <c r="B15" s="11" t="s">
        <v>130</v>
      </c>
      <c r="C15" s="25" t="n">
        <f aca="false">'1_輸入區'!B22</f>
        <v>0.2</v>
      </c>
      <c r="D15" s="25" t="n">
        <f aca="false">'1_輸入區'!C22</f>
        <v>0.2</v>
      </c>
      <c r="E15" s="25" t="n">
        <f aca="false">'1_輸入區'!D22</f>
        <v>0.2</v>
      </c>
    </row>
    <row r="16" customFormat="false" ht="15" hidden="false" customHeight="false" outlineLevel="0" collapsed="false">
      <c r="A16" s="22" t="s">
        <v>135</v>
      </c>
      <c r="B16" s="11" t="s">
        <v>130</v>
      </c>
      <c r="C16" s="23" t="n">
        <f aca="false">C14*(1-C15)</f>
        <v>98.9283636</v>
      </c>
      <c r="D16" s="23" t="n">
        <f aca="false">D14*(1-D15)</f>
        <v>205.38340592</v>
      </c>
      <c r="E16" s="23" t="n">
        <f aca="false">E14*(1-E15)</f>
        <v>365.009427782</v>
      </c>
    </row>
    <row r="17" customFormat="false" ht="15" hidden="false" customHeight="false" outlineLevel="0" collapsed="false">
      <c r="A17" s="26" t="s">
        <v>136</v>
      </c>
      <c r="B17" s="27" t="n">
        <f aca="false">'1_輸入區'!$B$8</f>
        <v>12.13</v>
      </c>
      <c r="C17" s="28" t="n">
        <f aca="false">C16/'1_輸入區'!$B$6</f>
        <v>34.257982150974</v>
      </c>
      <c r="D17" s="28" t="n">
        <f aca="false">D16/'1_輸入區'!$B$6</f>
        <v>71.1223838955081</v>
      </c>
      <c r="E17" s="28" t="n">
        <f aca="false">E16/'1_輸入區'!$B$6</f>
        <v>126.399406670192</v>
      </c>
    </row>
    <row r="19" customFormat="false" ht="15" hidden="false" customHeight="false" outlineLevel="0" collapsed="false">
      <c r="A19" s="4" t="s">
        <v>137</v>
      </c>
      <c r="C19" s="21" t="n">
        <f aca="false">C17*'1_輸入區'!$B$25</f>
        <v>1541.60919679383</v>
      </c>
      <c r="D19" s="21" t="n">
        <f aca="false">D17*'1_輸入區'!$B$25</f>
        <v>3200.50727529787</v>
      </c>
      <c r="E19" s="21" t="n">
        <f aca="false">E17*'1_輸入區'!$B$25</f>
        <v>5687.97330015863</v>
      </c>
    </row>
    <row r="20" customFormat="false" ht="15" hidden="false" customHeight="false" outlineLevel="0" collapsed="false">
      <c r="A20" s="4" t="s">
        <v>138</v>
      </c>
      <c r="C20" s="21" t="n">
        <f aca="false">C17*'1_輸入區'!$B$26</f>
        <v>1712.8991075487</v>
      </c>
      <c r="D20" s="21" t="n">
        <f aca="false">D17*'1_輸入區'!$B$26</f>
        <v>3556.11919477541</v>
      </c>
      <c r="E20" s="21" t="n">
        <f aca="false">E17*'1_輸入區'!$B$26</f>
        <v>6319.97033350959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139</v>
      </c>
    </row>
    <row r="3" customFormat="false" ht="17.15" hidden="false" customHeight="false" outlineLevel="0" collapsed="false">
      <c r="A3" s="8" t="s">
        <v>140</v>
      </c>
      <c r="B3" s="8"/>
      <c r="C3" s="8"/>
      <c r="D3" s="8"/>
      <c r="E3" s="8"/>
      <c r="F3" s="8"/>
      <c r="G3" s="8"/>
      <c r="H3" s="8"/>
    </row>
    <row r="5" customFormat="false" ht="15" hidden="false" customHeight="false" outlineLevel="0" collapsed="false">
      <c r="A5" s="29" t="s">
        <v>141</v>
      </c>
      <c r="B5" s="30" t="n">
        <f aca="false">'1_輸入區'!D19+-0.05</f>
        <v>0.3</v>
      </c>
      <c r="C5" s="30" t="n">
        <f aca="false">'1_輸入區'!D19+-0.03</f>
        <v>0.32</v>
      </c>
      <c r="D5" s="30" t="n">
        <f aca="false">'1_輸入區'!D19+-0.015</f>
        <v>0.335</v>
      </c>
      <c r="E5" s="30" t="n">
        <f aca="false">'1_輸入區'!D19+0</f>
        <v>0.35</v>
      </c>
      <c r="F5" s="30" t="n">
        <f aca="false">'1_輸入區'!D19+0.015</f>
        <v>0.365</v>
      </c>
      <c r="G5" s="30" t="n">
        <f aca="false">'1_輸入區'!D19+0.03</f>
        <v>0.38</v>
      </c>
      <c r="H5" s="30" t="n">
        <f aca="false">'1_輸入區'!D19+0.05</f>
        <v>0.4</v>
      </c>
    </row>
    <row r="6" customFormat="false" ht="15" hidden="false" customHeight="false" outlineLevel="0" collapsed="false">
      <c r="A6" s="31" t="n">
        <f aca="false">SUMPRODUCT('1_輸入區'!B12:B15,'1_輸入區'!E12:E15)/SUM('1_輸入區'!B12:B15)+-0.15</f>
        <v>0.370998681608438</v>
      </c>
      <c r="B6" s="32" t="n">
        <f aca="false">('2_EPS計算'!E8*(1+-0.15)*(('1_輸入區'!D19+-0.05)-'1_輸入區'!D20)*(1+'1_輸入區'!D21)*(1-'1_輸入區'!D22))/'1_輸入區'!$B$6</f>
        <v>88.9420604765719</v>
      </c>
      <c r="C6" s="32" t="n">
        <f aca="false">('2_EPS計算'!E8*(1+-0.15)*(('1_輸入區'!D19+-0.03)-'1_輸入區'!D20)*(1+'1_輸入區'!D21)*(1-'1_輸入區'!D22))/'1_輸入區'!$B$6</f>
        <v>96.676152691926</v>
      </c>
      <c r="D6" s="32" t="n">
        <f aca="false">('2_EPS計算'!E8*(1+-0.15)*(('1_輸入區'!D19+-0.015)-'1_輸入區'!D20)*(1+'1_輸入區'!D21)*(1-'1_輸入區'!D22))/'1_輸入區'!$B$6</f>
        <v>102.476721853442</v>
      </c>
      <c r="E6" s="32" t="n">
        <f aca="false">('2_EPS計算'!E8*(1+-0.15)*(('1_輸入區'!D19+0)-'1_輸入區'!D20)*(1+'1_輸入區'!D21)*(1-'1_輸入區'!D22))/'1_輸入區'!$B$6</f>
        <v>108.277291014957</v>
      </c>
      <c r="F6" s="32" t="n">
        <f aca="false">('2_EPS計算'!E8*(1+-0.15)*(('1_輸入區'!D19+0.015)-'1_輸入區'!D20)*(1+'1_輸入區'!D21)*(1-'1_輸入區'!D22))/'1_輸入區'!$B$6</f>
        <v>114.077860176473</v>
      </c>
      <c r="G6" s="32" t="n">
        <f aca="false">('2_EPS計算'!E8*(1+-0.15)*(('1_輸入區'!D19+0.03)-'1_輸入區'!D20)*(1+'1_輸入區'!D21)*(1-'1_輸入區'!D22))/'1_輸入區'!$B$6</f>
        <v>119.878429337988</v>
      </c>
      <c r="H6" s="32" t="n">
        <f aca="false">('2_EPS計算'!E8*(1+-0.15)*(('1_輸入區'!D19+0.05)-'1_輸入區'!D20)*(1+'1_輸入區'!D21)*(1-'1_輸入區'!D22))/'1_輸入區'!$B$6</f>
        <v>127.612521553342</v>
      </c>
    </row>
    <row r="7" customFormat="false" ht="15" hidden="false" customHeight="false" outlineLevel="0" collapsed="false">
      <c r="A7" s="31" t="n">
        <f aca="false">SUMPRODUCT('1_輸入區'!B12:B15,'1_輸入區'!E12:E15)/SUM('1_輸入區'!B12:B15)+-0.1</f>
        <v>0.420998681608438</v>
      </c>
      <c r="B7" s="32" t="n">
        <f aca="false">('2_EPS計算'!E8*(1+-0.1)*(('1_輸入區'!D19+-0.05)-'1_輸入區'!D20)*(1+'1_輸入區'!D21)*(1-'1_輸入區'!D22))/'1_輸入區'!$B$6</f>
        <v>94.1739463869585</v>
      </c>
      <c r="C7" s="32" t="n">
        <f aca="false">('2_EPS計算'!E8*(1+-0.1)*(('1_輸入區'!D19+-0.03)-'1_輸入區'!D20)*(1+'1_輸入區'!D21)*(1-'1_輸入區'!D22))/'1_輸入區'!$B$6</f>
        <v>102.362985203216</v>
      </c>
      <c r="D7" s="32" t="n">
        <f aca="false">('2_EPS計算'!E8*(1+-0.1)*(('1_輸入區'!D19+-0.015)-'1_輸入區'!D20)*(1+'1_輸入區'!D21)*(1-'1_輸入區'!D22))/'1_輸入區'!$B$6</f>
        <v>108.504764315409</v>
      </c>
      <c r="E7" s="32" t="n">
        <f aca="false">('2_EPS計算'!E8*(1+-0.1)*(('1_輸入區'!D19+0)-'1_輸入區'!D20)*(1+'1_輸入區'!D21)*(1-'1_輸入區'!D22))/'1_輸入區'!$B$6</f>
        <v>114.646543427602</v>
      </c>
      <c r="F7" s="32" t="n">
        <f aca="false">('2_EPS計算'!E8*(1+-0.1)*(('1_輸入區'!D19+0.015)-'1_輸入區'!D20)*(1+'1_輸入區'!D21)*(1-'1_輸入區'!D22))/'1_輸入區'!$B$6</f>
        <v>120.788322539795</v>
      </c>
      <c r="G7" s="32" t="n">
        <f aca="false">('2_EPS計算'!E8*(1+-0.1)*(('1_輸入區'!D19+0.03)-'1_輸入區'!D20)*(1+'1_輸入區'!D21)*(1-'1_輸入區'!D22))/'1_輸入區'!$B$6</f>
        <v>126.930101651988</v>
      </c>
      <c r="H7" s="32" t="n">
        <f aca="false">('2_EPS計算'!E8*(1+-0.1)*(('1_輸入區'!D19+0.05)-'1_輸入區'!D20)*(1+'1_輸入區'!D21)*(1-'1_輸入區'!D22))/'1_輸入區'!$B$6</f>
        <v>135.119140468245</v>
      </c>
    </row>
    <row r="8" customFormat="false" ht="15" hidden="false" customHeight="false" outlineLevel="0" collapsed="false">
      <c r="A8" s="31" t="n">
        <f aca="false">SUMPRODUCT('1_輸入區'!B12:B15,'1_輸入區'!E12:E15)/SUM('1_輸入區'!B12:B15)+-0.05</f>
        <v>0.470998681608438</v>
      </c>
      <c r="B8" s="32" t="n">
        <f aca="false">('2_EPS計算'!E8*(1+-0.05)*(('1_輸入區'!D19+-0.05)-'1_輸入區'!D20)*(1+'1_輸入區'!D21)*(1-'1_輸入區'!D22))/'1_輸入區'!$B$6</f>
        <v>99.4058322973451</v>
      </c>
      <c r="C8" s="32" t="n">
        <f aca="false">('2_EPS計算'!E8*(1+-0.05)*(('1_輸入區'!D19+-0.03)-'1_輸入區'!D20)*(1+'1_輸入區'!D21)*(1-'1_輸入區'!D22))/'1_輸入區'!$B$6</f>
        <v>108.049817714506</v>
      </c>
      <c r="D8" s="32" t="n">
        <f aca="false">('2_EPS計算'!E8*(1+-0.05)*(('1_輸入區'!D19+-0.015)-'1_輸入區'!D20)*(1+'1_輸入區'!D21)*(1-'1_輸入區'!D22))/'1_輸入區'!$B$6</f>
        <v>114.532806777376</v>
      </c>
      <c r="E8" s="32" t="n">
        <f aca="false">('2_EPS計算'!E8*(1+-0.05)*(('1_輸入區'!D19+0)-'1_輸入區'!D20)*(1+'1_輸入區'!D21)*(1-'1_輸入區'!D22))/'1_輸入區'!$B$6</f>
        <v>121.015795840246</v>
      </c>
      <c r="F8" s="32" t="n">
        <f aca="false">('2_EPS計算'!E8*(1+-0.05)*(('1_輸入區'!D19+0.015)-'1_輸入區'!D20)*(1+'1_輸入區'!D21)*(1-'1_輸入區'!D22))/'1_輸入區'!$B$6</f>
        <v>127.498784903117</v>
      </c>
      <c r="G8" s="32" t="n">
        <f aca="false">('2_EPS計算'!E8*(1+-0.05)*(('1_輸入區'!D19+0.03)-'1_輸入區'!D20)*(1+'1_輸入區'!D21)*(1-'1_輸入區'!D22))/'1_輸入區'!$B$6</f>
        <v>133.981773965987</v>
      </c>
      <c r="H8" s="32" t="n">
        <f aca="false">('2_EPS計算'!E8*(1+-0.05)*(('1_輸入區'!D19+0.05)-'1_輸入區'!D20)*(1+'1_輸入區'!D21)*(1-'1_輸入區'!D22))/'1_輸入區'!$B$6</f>
        <v>142.625759383147</v>
      </c>
    </row>
    <row r="9" customFormat="false" ht="15" hidden="false" customHeight="false" outlineLevel="0" collapsed="false">
      <c r="A9" s="31" t="n">
        <f aca="false">SUMPRODUCT('1_輸入區'!B12:B15,'1_輸入區'!E12:E15)/SUM('1_輸入區'!B12:B15)+0</f>
        <v>0.520998681608438</v>
      </c>
      <c r="B9" s="32" t="n">
        <f aca="false">('2_EPS計算'!E8*(1+0)*(('1_輸入區'!D19+-0.05)-'1_輸入區'!D20)*(1+'1_輸入區'!D21)*(1-'1_輸入區'!D22))/'1_輸入區'!$B$6</f>
        <v>104.637718207732</v>
      </c>
      <c r="C9" s="32" t="n">
        <f aca="false">('2_EPS計算'!E8*(1+0)*(('1_輸入區'!D19+-0.03)-'1_輸入區'!D20)*(1+'1_輸入區'!D21)*(1-'1_輸入區'!D22))/'1_輸入區'!$B$6</f>
        <v>113.736650225795</v>
      </c>
      <c r="D9" s="32" t="n">
        <f aca="false">('2_EPS計算'!E8*(1+0)*(('1_輸入區'!D19+-0.015)-'1_輸入區'!D20)*(1+'1_輸入區'!D21)*(1-'1_輸入區'!D22))/'1_輸入區'!$B$6</f>
        <v>120.560849239343</v>
      </c>
      <c r="E9" s="32" t="n">
        <f aca="false">('2_EPS計算'!E8*(1+0)*(('1_輸入區'!D19+0)-'1_輸入區'!D20)*(1+'1_輸入區'!D21)*(1-'1_輸入區'!D22))/'1_輸入區'!$B$6</f>
        <v>127.385048252891</v>
      </c>
      <c r="F9" s="32" t="n">
        <f aca="false">('2_EPS計算'!E8*(1+0)*(('1_輸入區'!D19+0.015)-'1_輸入區'!D20)*(1+'1_輸入區'!D21)*(1-'1_輸入區'!D22))/'1_輸入區'!$B$6</f>
        <v>134.209247266438</v>
      </c>
      <c r="G9" s="32" t="n">
        <f aca="false">('2_EPS計算'!E8*(1+0)*(('1_輸入區'!D19+0.03)-'1_輸入區'!D20)*(1+'1_輸入區'!D21)*(1-'1_輸入區'!D22))/'1_輸入區'!$B$6</f>
        <v>141.033446279986</v>
      </c>
      <c r="H9" s="32" t="n">
        <f aca="false">('2_EPS計算'!E8*(1+0)*(('1_輸入區'!D19+0.05)-'1_輸入區'!D20)*(1+'1_輸入區'!D21)*(1-'1_輸入區'!D22))/'1_輸入區'!$B$6</f>
        <v>150.13237829805</v>
      </c>
    </row>
    <row r="10" customFormat="false" ht="15" hidden="false" customHeight="false" outlineLevel="0" collapsed="false">
      <c r="A10" s="31" t="n">
        <f aca="false">SUMPRODUCT('1_輸入區'!B12:B15,'1_輸入區'!E12:E15)/SUM('1_輸入區'!B12:B15)+0.05</f>
        <v>0.570998681608438</v>
      </c>
      <c r="B10" s="32" t="n">
        <f aca="false">('2_EPS計算'!E8*(1+0.05)*(('1_輸入區'!D19+-0.05)-'1_輸入區'!D20)*(1+'1_輸入區'!D21)*(1-'1_輸入區'!D22))/'1_輸入區'!$B$6</f>
        <v>109.869604118118</v>
      </c>
      <c r="C10" s="32" t="n">
        <f aca="false">('2_EPS計算'!E8*(1+0.05)*(('1_輸入區'!D19+-0.03)-'1_輸入區'!D20)*(1+'1_輸入區'!D21)*(1-'1_輸入區'!D22))/'1_輸入區'!$B$6</f>
        <v>119.423482737085</v>
      </c>
      <c r="D10" s="32" t="n">
        <f aca="false">('2_EPS計算'!E8*(1+0.05)*(('1_輸入區'!D19+-0.015)-'1_輸入區'!D20)*(1+'1_輸入區'!D21)*(1-'1_輸入區'!D22))/'1_輸入區'!$B$6</f>
        <v>126.58889170131</v>
      </c>
      <c r="E10" s="32" t="n">
        <f aca="false">('2_EPS計算'!E8*(1+0.05)*(('1_輸入區'!D19+0)-'1_輸入區'!D20)*(1+'1_輸入區'!D21)*(1-'1_輸入區'!D22))/'1_輸入區'!$B$6</f>
        <v>133.754300665535</v>
      </c>
      <c r="F10" s="32" t="n">
        <f aca="false">('2_EPS計算'!E8*(1+0.05)*(('1_輸入區'!D19+0.015)-'1_輸入區'!D20)*(1+'1_輸入區'!D21)*(1-'1_輸入區'!D22))/'1_輸入區'!$B$6</f>
        <v>140.91970962976</v>
      </c>
      <c r="G10" s="32" t="n">
        <f aca="false">('2_EPS計算'!E8*(1+0.05)*(('1_輸入區'!D19+0.03)-'1_輸入區'!D20)*(1+'1_輸入區'!D21)*(1-'1_輸入區'!D22))/'1_輸入區'!$B$6</f>
        <v>148.085118593985</v>
      </c>
      <c r="H10" s="32" t="n">
        <f aca="false">('2_EPS計算'!E8*(1+0.05)*(('1_輸入區'!D19+0.05)-'1_輸入區'!D20)*(1+'1_輸入區'!D21)*(1-'1_輸入區'!D22))/'1_輸入區'!$B$6</f>
        <v>157.638997212952</v>
      </c>
    </row>
    <row r="11" customFormat="false" ht="15" hidden="false" customHeight="false" outlineLevel="0" collapsed="false">
      <c r="A11" s="31" t="n">
        <f aca="false">SUMPRODUCT('1_輸入區'!B12:B15,'1_輸入區'!E12:E15)/SUM('1_輸入區'!B12:B15)+0.1</f>
        <v>0.620998681608438</v>
      </c>
      <c r="B11" s="32" t="n">
        <f aca="false">('2_EPS計算'!E8*(1+0.1)*(('1_輸入區'!D19+-0.05)-'1_輸入區'!D20)*(1+'1_輸入區'!D21)*(1-'1_輸入區'!D22))/'1_輸入區'!$B$6</f>
        <v>115.101490028505</v>
      </c>
      <c r="C11" s="32" t="n">
        <f aca="false">('2_EPS計算'!E8*(1+0.1)*(('1_輸入區'!D19+-0.03)-'1_輸入區'!D20)*(1+'1_輸入區'!D21)*(1-'1_輸入區'!D22))/'1_輸入區'!$B$6</f>
        <v>125.110315248375</v>
      </c>
      <c r="D11" s="32" t="n">
        <f aca="false">('2_EPS計算'!E8*(1+0.1)*(('1_輸入區'!D19+-0.015)-'1_輸入區'!D20)*(1+'1_輸入區'!D21)*(1-'1_輸入區'!D22))/'1_輸入區'!$B$6</f>
        <v>132.616934163277</v>
      </c>
      <c r="E11" s="32" t="n">
        <f aca="false">('2_EPS計算'!E8*(1+0.1)*(('1_輸入區'!D19+0)-'1_輸入區'!D20)*(1+'1_輸入區'!D21)*(1-'1_輸入區'!D22))/'1_輸入區'!$B$6</f>
        <v>140.12355307818</v>
      </c>
      <c r="F11" s="32" t="n">
        <f aca="false">('2_EPS計算'!E8*(1+0.1)*(('1_輸入區'!D19+0.015)-'1_輸入區'!D20)*(1+'1_輸入區'!D21)*(1-'1_輸入區'!D22))/'1_輸入區'!$B$6</f>
        <v>147.630171993082</v>
      </c>
      <c r="G11" s="32" t="n">
        <f aca="false">('2_EPS計算'!E8*(1+0.1)*(('1_輸入區'!D19+0.03)-'1_輸入區'!D20)*(1+'1_輸入區'!D21)*(1-'1_輸入區'!D22))/'1_輸入區'!$B$6</f>
        <v>155.136790907985</v>
      </c>
      <c r="H11" s="32" t="n">
        <f aca="false">('2_EPS計算'!E8*(1+0.1)*(('1_輸入區'!D19+0.05)-'1_輸入區'!D20)*(1+'1_輸入區'!D21)*(1-'1_輸入區'!D22))/'1_輸入區'!$B$6</f>
        <v>165.145616127855</v>
      </c>
    </row>
    <row r="12" customFormat="false" ht="15" hidden="false" customHeight="false" outlineLevel="0" collapsed="false">
      <c r="A12" s="31" t="n">
        <f aca="false">SUMPRODUCT('1_輸入區'!B12:B15,'1_輸入區'!E12:E15)/SUM('1_輸入區'!B12:B15)+0.15</f>
        <v>0.670998681608438</v>
      </c>
      <c r="B12" s="32" t="n">
        <f aca="false">('2_EPS計算'!E8*(1+0.15)*(('1_輸入區'!D19+-0.05)-'1_輸入區'!D20)*(1+'1_輸入區'!D21)*(1-'1_輸入區'!D22))/'1_輸入區'!$B$6</f>
        <v>120.333375938891</v>
      </c>
      <c r="C12" s="32" t="n">
        <f aca="false">('2_EPS計算'!E8*(1+0.15)*(('1_輸入區'!D19+-0.03)-'1_輸入區'!D20)*(1+'1_輸入區'!D21)*(1-'1_輸入區'!D22))/'1_輸入區'!$B$6</f>
        <v>130.797147759665</v>
      </c>
      <c r="D12" s="32" t="n">
        <f aca="false">('2_EPS計算'!E8*(1+0.15)*(('1_輸入區'!D19+-0.015)-'1_輸入區'!D20)*(1+'1_輸入區'!D21)*(1-'1_輸入區'!D22))/'1_輸入區'!$B$6</f>
        <v>138.644976625244</v>
      </c>
      <c r="E12" s="32" t="n">
        <f aca="false">('2_EPS計算'!E8*(1+0.15)*(('1_輸入區'!D19+0)-'1_輸入區'!D20)*(1+'1_輸入區'!D21)*(1-'1_輸入區'!D22))/'1_輸入區'!$B$6</f>
        <v>146.492805490824</v>
      </c>
      <c r="F12" s="32" t="n">
        <f aca="false">('2_EPS計算'!E8*(1+0.15)*(('1_輸入區'!D19+0.015)-'1_輸入區'!D20)*(1+'1_輸入區'!D21)*(1-'1_輸入區'!D22))/'1_輸入區'!$B$6</f>
        <v>154.340634356404</v>
      </c>
      <c r="G12" s="32" t="n">
        <f aca="false">('2_EPS計算'!E8*(1+0.15)*(('1_輸入區'!D19+0.03)-'1_輸入區'!D20)*(1+'1_輸入區'!D21)*(1-'1_輸入區'!D22))/'1_輸入區'!$B$6</f>
        <v>162.188463221984</v>
      </c>
      <c r="H12" s="32" t="n">
        <f aca="false">('2_EPS計算'!E8*(1+0.15)*(('1_輸入區'!D19+0.05)-'1_輸入區'!D20)*(1+'1_輸入區'!D21)*(1-'1_輸入區'!D22))/'1_輸入區'!$B$6</f>
        <v>172.652235042757</v>
      </c>
    </row>
    <row r="15" customFormat="false" ht="17.15" hidden="false" customHeight="false" outlineLevel="0" collapsed="false">
      <c r="A15" s="8" t="s">
        <v>142</v>
      </c>
      <c r="B15" s="8"/>
      <c r="C15" s="8"/>
      <c r="D15" s="8"/>
      <c r="E15" s="8"/>
      <c r="F15" s="8"/>
      <c r="G15" s="8"/>
      <c r="H15" s="8"/>
    </row>
    <row r="17" customFormat="false" ht="15" hidden="false" customHeight="false" outlineLevel="0" collapsed="false">
      <c r="A17" s="19" t="s">
        <v>143</v>
      </c>
      <c r="B17" s="33" t="n">
        <v>25</v>
      </c>
      <c r="C17" s="33" t="n">
        <v>35</v>
      </c>
      <c r="D17" s="33" t="n">
        <v>45</v>
      </c>
      <c r="E17" s="33" t="n">
        <v>47.5</v>
      </c>
      <c r="F17" s="33" t="n">
        <v>50</v>
      </c>
      <c r="G17" s="33" t="n">
        <v>60</v>
      </c>
      <c r="H17" s="33" t="n">
        <v>70</v>
      </c>
    </row>
    <row r="18" customFormat="false" ht="15" hidden="false" customHeight="false" outlineLevel="0" collapsed="false">
      <c r="A18" s="31" t="n">
        <f aca="false">A6</f>
        <v>0.370998681608438</v>
      </c>
      <c r="B18" s="21" t="n">
        <f aca="false">D6*B17</f>
        <v>2561.91804633604</v>
      </c>
      <c r="C18" s="21" t="n">
        <f aca="false">D6*C17</f>
        <v>3586.68526487045</v>
      </c>
      <c r="D18" s="21" t="n">
        <f aca="false">D6*D17</f>
        <v>4611.45248340487</v>
      </c>
      <c r="E18" s="21" t="n">
        <f aca="false">D6*E17</f>
        <v>4867.64428803847</v>
      </c>
      <c r="F18" s="21" t="n">
        <f aca="false">D6*F17</f>
        <v>5123.83609267208</v>
      </c>
      <c r="G18" s="21" t="n">
        <f aca="false">D6*G17</f>
        <v>6148.60331120649</v>
      </c>
      <c r="H18" s="21" t="n">
        <f aca="false">D6*H17</f>
        <v>7173.37052974091</v>
      </c>
    </row>
    <row r="19" customFormat="false" ht="15" hidden="false" customHeight="false" outlineLevel="0" collapsed="false">
      <c r="A19" s="31" t="n">
        <f aca="false">A7</f>
        <v>0.420998681608438</v>
      </c>
      <c r="B19" s="21" t="n">
        <f aca="false">D7*B17</f>
        <v>2712.61910788522</v>
      </c>
      <c r="C19" s="21" t="n">
        <f aca="false">D7*C17</f>
        <v>3797.6667510393</v>
      </c>
      <c r="D19" s="21" t="n">
        <f aca="false">D7*D17</f>
        <v>4882.71439419339</v>
      </c>
      <c r="E19" s="21" t="n">
        <f aca="false">D7*E17</f>
        <v>5153.97630498191</v>
      </c>
      <c r="F19" s="21" t="n">
        <f aca="false">D7*F17</f>
        <v>5425.23821577043</v>
      </c>
      <c r="G19" s="21" t="n">
        <f aca="false">D7*G17</f>
        <v>6510.28585892452</v>
      </c>
      <c r="H19" s="21" t="n">
        <f aca="false">D7*H17</f>
        <v>7595.33350207861</v>
      </c>
    </row>
    <row r="20" customFormat="false" ht="15" hidden="false" customHeight="false" outlineLevel="0" collapsed="false">
      <c r="A20" s="31" t="n">
        <f aca="false">A8</f>
        <v>0.470998681608438</v>
      </c>
      <c r="B20" s="21" t="n">
        <f aca="false">D8*B17</f>
        <v>2863.3201694344</v>
      </c>
      <c r="C20" s="21" t="n">
        <f aca="false">D8*C17</f>
        <v>4008.64823720816</v>
      </c>
      <c r="D20" s="21" t="n">
        <f aca="false">D8*D17</f>
        <v>5153.97630498191</v>
      </c>
      <c r="E20" s="21" t="n">
        <f aca="false">D8*E17</f>
        <v>5440.30832192535</v>
      </c>
      <c r="F20" s="21" t="n">
        <f aca="false">D8*F17</f>
        <v>5726.64033886879</v>
      </c>
      <c r="G20" s="21" t="n">
        <f aca="false">D8*G17</f>
        <v>6871.96840664255</v>
      </c>
      <c r="H20" s="21" t="n">
        <f aca="false">D8*H17</f>
        <v>8017.29647441631</v>
      </c>
    </row>
    <row r="21" customFormat="false" ht="15" hidden="false" customHeight="false" outlineLevel="0" collapsed="false">
      <c r="A21" s="31" t="n">
        <f aca="false">A9</f>
        <v>0.520998681608438</v>
      </c>
      <c r="B21" s="21" t="n">
        <f aca="false">D9*B17</f>
        <v>3014.02123098357</v>
      </c>
      <c r="C21" s="21" t="n">
        <f aca="false">D9*C17</f>
        <v>4219.62972337701</v>
      </c>
      <c r="D21" s="21" t="n">
        <f aca="false">D9*D17</f>
        <v>5425.23821577043</v>
      </c>
      <c r="E21" s="21" t="n">
        <f aca="false">D9*E17</f>
        <v>5726.64033886879</v>
      </c>
      <c r="F21" s="21" t="n">
        <f aca="false">D9*F17</f>
        <v>6028.04246196715</v>
      </c>
      <c r="G21" s="21" t="n">
        <f aca="false">D9*G17</f>
        <v>7233.65095436058</v>
      </c>
      <c r="H21" s="21" t="n">
        <f aca="false">D9*H17</f>
        <v>8439.25944675401</v>
      </c>
    </row>
    <row r="22" customFormat="false" ht="15" hidden="false" customHeight="false" outlineLevel="0" collapsed="false">
      <c r="A22" s="31" t="n">
        <f aca="false">A10</f>
        <v>0.570998681608438</v>
      </c>
      <c r="B22" s="21" t="n">
        <f aca="false">D10*B17</f>
        <v>3164.72229253275</v>
      </c>
      <c r="C22" s="21" t="n">
        <f aca="false">D10*C17</f>
        <v>4430.61120954586</v>
      </c>
      <c r="D22" s="21" t="n">
        <f aca="false">D10*D17</f>
        <v>5696.50012655896</v>
      </c>
      <c r="E22" s="21" t="n">
        <f aca="false">D10*E17</f>
        <v>6012.97235581223</v>
      </c>
      <c r="F22" s="21" t="n">
        <f aca="false">D10*F17</f>
        <v>6329.44458506551</v>
      </c>
      <c r="G22" s="21" t="n">
        <f aca="false">D10*G17</f>
        <v>7595.33350207861</v>
      </c>
      <c r="H22" s="21" t="n">
        <f aca="false">D10*H17</f>
        <v>8861.22241909171</v>
      </c>
    </row>
    <row r="23" customFormat="false" ht="15" hidden="false" customHeight="false" outlineLevel="0" collapsed="false">
      <c r="A23" s="31" t="n">
        <f aca="false">A11</f>
        <v>0.620998681608438</v>
      </c>
      <c r="B23" s="21" t="n">
        <f aca="false">D11*B17</f>
        <v>3315.42335408193</v>
      </c>
      <c r="C23" s="21" t="n">
        <f aca="false">D11*C17</f>
        <v>4641.59269571471</v>
      </c>
      <c r="D23" s="21" t="n">
        <f aca="false">D11*D17</f>
        <v>5967.76203734748</v>
      </c>
      <c r="E23" s="21" t="n">
        <f aca="false">D11*E17</f>
        <v>6299.30437275567</v>
      </c>
      <c r="F23" s="21" t="n">
        <f aca="false">D11*F17</f>
        <v>6630.84670816387</v>
      </c>
      <c r="G23" s="21" t="n">
        <f aca="false">D11*G17</f>
        <v>7957.01604979664</v>
      </c>
      <c r="H23" s="21" t="n">
        <f aca="false">D11*H17</f>
        <v>9283.18539142941</v>
      </c>
    </row>
    <row r="24" customFormat="false" ht="15" hidden="false" customHeight="false" outlineLevel="0" collapsed="false">
      <c r="A24" s="31" t="n">
        <f aca="false">A12</f>
        <v>0.670998681608438</v>
      </c>
      <c r="B24" s="21" t="n">
        <f aca="false">D12*B17</f>
        <v>3466.12441563111</v>
      </c>
      <c r="C24" s="21" t="n">
        <f aca="false">D12*C17</f>
        <v>4852.57418188356</v>
      </c>
      <c r="D24" s="21" t="n">
        <f aca="false">D12*D17</f>
        <v>6239.023948136</v>
      </c>
      <c r="E24" s="21" t="n">
        <f aca="false">D12*E17</f>
        <v>6585.63638969911</v>
      </c>
      <c r="F24" s="21" t="n">
        <f aca="false">D12*F17</f>
        <v>6932.24883126222</v>
      </c>
      <c r="G24" s="21" t="n">
        <f aca="false">D12*G17</f>
        <v>8318.69859751467</v>
      </c>
      <c r="H24" s="21" t="n">
        <f aca="false">D12*H17</f>
        <v>9705.14836376711</v>
      </c>
    </row>
  </sheetData>
  <mergeCells count="2">
    <mergeCell ref="A3:H3"/>
    <mergeCell ref="A15:H15"/>
  </mergeCells>
  <conditionalFormatting sqref="B18:H24">
    <cfRule type="cellIs" priority="2" operator="greaterThan" aboveAverage="0" equalAverage="0" bottom="0" percent="0" rank="0" text="" dxfId="0">
      <formula>'1_輸入區'!$B$5</formula>
    </cfRule>
    <cfRule type="cellIs" priority="3" operator="lessThan" aboveAverage="0" equalAverage="0" bottom="0" percent="0" rank="0" text="" dxfId="1">
      <formula>'1_輸入區'!$B$5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6"/>
  </cols>
  <sheetData>
    <row r="1" customFormat="false" ht="21.6" hidden="false" customHeight="false" outlineLevel="0" collapsed="false">
      <c r="A1" s="1" t="s">
        <v>144</v>
      </c>
    </row>
    <row r="3" customFormat="false" ht="15" hidden="false" customHeight="false" outlineLevel="0" collapsed="false">
      <c r="A3" s="3" t="s">
        <v>108</v>
      </c>
      <c r="B3" s="3" t="s">
        <v>109</v>
      </c>
      <c r="C3" s="12" t="s">
        <v>145</v>
      </c>
      <c r="D3" s="3" t="s">
        <v>146</v>
      </c>
      <c r="E3" s="3" t="s">
        <v>33</v>
      </c>
      <c r="F3" s="12" t="s">
        <v>147</v>
      </c>
    </row>
    <row r="4" customFormat="false" ht="15" hidden="false" customHeight="false" outlineLevel="0" collapsed="false">
      <c r="A4" s="34" t="str">
        <f aca="false">'1_輸入區'!A34</f>
        <v>樂觀</v>
      </c>
      <c r="B4" s="25" t="n">
        <f aca="false">'1_輸入區'!B34</f>
        <v>0.25</v>
      </c>
      <c r="C4" s="32" t="n">
        <f aca="false">'2_EPS計算'!E17*(1+'1_輸入區'!C34)</f>
        <v>151.67928800423</v>
      </c>
      <c r="D4" s="35" t="n">
        <f aca="false">'1_輸入區'!E34</f>
        <v>65</v>
      </c>
      <c r="E4" s="23" t="n">
        <f aca="false">C4*D4</f>
        <v>9859.15372027496</v>
      </c>
      <c r="F4" s="36" t="n">
        <f aca="false">E4/'1_輸入區'!$B$5-1</f>
        <v>5.27971574539806</v>
      </c>
    </row>
    <row r="5" customFormat="false" ht="15" hidden="false" customHeight="false" outlineLevel="0" collapsed="false">
      <c r="A5" s="34" t="str">
        <f aca="false">'1_輸入區'!A35</f>
        <v>基本</v>
      </c>
      <c r="B5" s="25" t="n">
        <f aca="false">'1_輸入區'!B35</f>
        <v>0.45</v>
      </c>
      <c r="C5" s="32" t="n">
        <f aca="false">'2_EPS計算'!E17*(1+'1_輸入區'!C35)</f>
        <v>126.399406670192</v>
      </c>
      <c r="D5" s="35" t="n">
        <f aca="false">'1_輸入區'!E35</f>
        <v>47.5</v>
      </c>
      <c r="E5" s="23" t="n">
        <f aca="false">C5*D5</f>
        <v>6003.97181683411</v>
      </c>
      <c r="F5" s="36" t="n">
        <f aca="false">E5/'1_輸入區'!$B$5-1</f>
        <v>2.82418587059497</v>
      </c>
    </row>
    <row r="6" customFormat="false" ht="15" hidden="false" customHeight="false" outlineLevel="0" collapsed="false">
      <c r="A6" s="34" t="str">
        <f aca="false">'1_輸入區'!A36</f>
        <v>保守</v>
      </c>
      <c r="B6" s="25" t="n">
        <f aca="false">'1_輸入區'!B36</f>
        <v>0.3</v>
      </c>
      <c r="C6" s="32" t="n">
        <f aca="false">'2_EPS計算'!E17*(1+'1_輸入區'!C36)</f>
        <v>44.2397923345671</v>
      </c>
      <c r="D6" s="35" t="n">
        <f aca="false">'1_輸入區'!E36</f>
        <v>27.5</v>
      </c>
      <c r="E6" s="23" t="n">
        <f aca="false">C6*D6</f>
        <v>1216.5942892006</v>
      </c>
      <c r="F6" s="36" t="n">
        <f aca="false">E6/'1_輸入區'!$B$5-1</f>
        <v>-0.225099178853124</v>
      </c>
    </row>
    <row r="7" customFormat="false" ht="15" hidden="false" customHeight="false" outlineLevel="0" collapsed="false">
      <c r="A7" s="37" t="s">
        <v>148</v>
      </c>
      <c r="E7" s="38" t="n">
        <f aca="false">SUMPRODUCT(B4:B6,E4:E6)</f>
        <v>5531.55403440427</v>
      </c>
      <c r="F7" s="39" t="n">
        <f aca="false">E7/'1_輸入區'!$B$5-1</f>
        <v>2.52328282446132</v>
      </c>
    </row>
    <row r="9" customFormat="false" ht="15" hidden="false" customHeight="false" outlineLevel="0" collapsed="false">
      <c r="A9" s="3" t="s">
        <v>149</v>
      </c>
    </row>
    <row r="10" customFormat="false" ht="15" hidden="false" customHeight="false" outlineLevel="0" collapsed="false">
      <c r="A10" s="2" t="s">
        <v>150</v>
      </c>
    </row>
    <row r="11" customFormat="false" ht="15" hidden="false" customHeight="false" outlineLevel="0" collapsed="false">
      <c r="A11" s="29" t="s">
        <v>151</v>
      </c>
      <c r="B11" s="19" t="s">
        <v>29</v>
      </c>
      <c r="C11" s="29" t="s">
        <v>152</v>
      </c>
      <c r="D11" s="29" t="s">
        <v>153</v>
      </c>
      <c r="E11" s="19" t="s">
        <v>147</v>
      </c>
    </row>
    <row r="12" customFormat="false" ht="15" hidden="false" customHeight="false" outlineLevel="0" collapsed="false">
      <c r="A12" s="11" t="s">
        <v>122</v>
      </c>
      <c r="B12" s="27" t="n">
        <f aca="false">'2_EPS計算'!C17</f>
        <v>34.257982150974</v>
      </c>
      <c r="C12" s="35" t="n">
        <f aca="false">'1_輸入區'!$B$30</f>
        <v>113.44</v>
      </c>
      <c r="D12" s="23" t="n">
        <f aca="false">B12*C12</f>
        <v>3886.22549520649</v>
      </c>
      <c r="E12" s="36" t="n">
        <f aca="false">D12/'1_輸入區'!$B$5-1</f>
        <v>1.47530286318885</v>
      </c>
    </row>
    <row r="13" customFormat="false" ht="15" hidden="false" customHeight="false" outlineLevel="0" collapsed="false">
      <c r="A13" s="11" t="s">
        <v>123</v>
      </c>
      <c r="B13" s="27" t="n">
        <f aca="false">'2_EPS計算'!D17</f>
        <v>71.1223838955081</v>
      </c>
      <c r="C13" s="35" t="n">
        <f aca="false">'1_輸入區'!$B$30</f>
        <v>113.44</v>
      </c>
      <c r="D13" s="23" t="n">
        <f aca="false">B13*C13</f>
        <v>8068.12322910644</v>
      </c>
      <c r="E13" s="36" t="n">
        <f aca="false">D13/'1_輸入區'!$B$5-1</f>
        <v>4.13893199306143</v>
      </c>
    </row>
    <row r="14" customFormat="false" ht="15" hidden="false" customHeight="false" outlineLevel="0" collapsed="false">
      <c r="A14" s="11" t="s">
        <v>124</v>
      </c>
      <c r="B14" s="27" t="n">
        <f aca="false">'2_EPS計算'!E17</f>
        <v>126.399406670192</v>
      </c>
      <c r="C14" s="35" t="n">
        <f aca="false">'1_輸入區'!$B$30</f>
        <v>113.44</v>
      </c>
      <c r="D14" s="23" t="n">
        <f aca="false">B14*C14</f>
        <v>14338.7486926666</v>
      </c>
      <c r="E14" s="36" t="n">
        <f aca="false">D14/'1_輸入區'!$B$5-1</f>
        <v>8.13296095074303</v>
      </c>
    </row>
    <row r="16" customFormat="false" ht="15" hidden="false" customHeight="false" outlineLevel="0" collapsed="false">
      <c r="A16" s="3" t="s">
        <v>154</v>
      </c>
    </row>
    <row r="17" customFormat="false" ht="15" hidden="false" customHeight="false" outlineLevel="0" collapsed="false">
      <c r="A17" s="4" t="s">
        <v>155</v>
      </c>
      <c r="B17" s="36" t="n">
        <f aca="false">('1_輸入區'!$B$5/('1_輸入區'!$B$27*'1_輸入區'!$B$8))^(1/'1_輸入區'!$B$28)-1</f>
        <v>0.950878224831462</v>
      </c>
    </row>
    <row r="18" customFormat="false" ht="15" hidden="false" customHeight="false" outlineLevel="0" collapsed="false">
      <c r="A18" s="4" t="s">
        <v>38</v>
      </c>
      <c r="B18" s="25" t="n">
        <f aca="false">'1_輸入區'!$B$29</f>
        <v>0.19</v>
      </c>
    </row>
    <row r="19" customFormat="false" ht="15" hidden="false" customHeight="false" outlineLevel="0" collapsed="false">
      <c r="A19" s="4" t="s">
        <v>156</v>
      </c>
      <c r="B19" s="36" t="n">
        <f aca="false">B17/B18</f>
        <v>5.00462223595506</v>
      </c>
    </row>
    <row r="20" customFormat="false" ht="15" hidden="false" customHeight="false" outlineLevel="0" collapsed="false">
      <c r="A20" s="22" t="s">
        <v>157</v>
      </c>
      <c r="B20" s="22" t="str">
        <f aca="false">IF(B19&gt;1.5,"🔴 隱含成長率遠高於產業，估值偏樂觀",IF(B19&lt;0.7,"🟢 隱含成長率低於產業，可能低估","🟡 隱含成長率與產業相近，估值合理"))</f>
        <v>🔴 隱含成長率遠高於產業，估值偏樂觀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2026-07-10T09:01:16Z</dcterms:created>
  <dc:creator>openpyxl</dc:creator>
  <dc:description/>
  <dc:language>en-US</dc:language>
  <cp:lastModifiedBy/>
  <dcterms:modified xsi:type="dcterms:W3CDTF">2026-07-10T09:01:16Z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